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E5CCC48F-C818-4C3C-BC02-2DFEAD513EB0}" xr6:coauthVersionLast="47" xr6:coauthVersionMax="47" xr10:uidLastSave="{00000000-0000-0000-0000-000000000000}"/>
  <bookViews>
    <workbookView xWindow="-120" yWindow="-120" windowWidth="29040" windowHeight="15720" activeTab="4" xr2:uid="{33F49FA1-67BF-4BDF-B9D7-EAD59E829AD4}"/>
  </bookViews>
  <sheets>
    <sheet name="Raw Data" sheetId="1" r:id="rId1"/>
    <sheet name="Cleaned Data" sheetId="5" r:id="rId2"/>
    <sheet name="Analysis" sheetId="4" r:id="rId3"/>
    <sheet name="Pivot Tables" sheetId="12" r:id="rId4"/>
    <sheet name="Dashboard" sheetId="8" r:id="rId5"/>
    <sheet name="Data Dictionary" sheetId="14" r:id="rId6"/>
  </sheets>
  <definedNames>
    <definedName name="_xlnm._FilterDatabase" localSheetId="1" hidden="1">'Cleaned Data'!$A$1:$G$113</definedName>
    <definedName name="_xlnm._FilterDatabase" localSheetId="0" hidden="1">'Raw Data'!$A$1:$F$116</definedName>
    <definedName name="_xlcn.WorksheetConnection_Excel_jumia_dataset1.xlsxtblproducts" hidden="1">tblproducts[]</definedName>
    <definedName name="hds">Analysis!$A$6</definedName>
    <definedName name="High_dis">Analysis!$B$6</definedName>
    <definedName name="Price_Q1">Analysis!$A$1</definedName>
    <definedName name="Price_Q3">Analysis!$A$2</definedName>
    <definedName name="Slicer_Discount_Category">#N/A</definedName>
    <definedName name="Slicer_Price_Category">#N/A</definedName>
    <definedName name="Slicer_Rating_Category">#N/A</definedName>
    <definedName name="ste">Analysis!$A$4</definedName>
    <definedName name="str_engagement">Analysis!$B$4</definedName>
    <definedName name="strong_engage">Analysis!$A$4</definedName>
    <definedName name="weak_engagem">Analysis!$B$5</definedName>
    <definedName name="weak_engagement">Analysis!$B$6</definedName>
    <definedName name="wke">Analysis!$A$5</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products" name="tblproducts" connection="WorksheetConnection_Excel_jumia_dataset (1).xlsx!tbl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5" l="1"/>
  <c r="K89" i="5"/>
  <c r="K73" i="5"/>
  <c r="K22" i="5"/>
  <c r="K75" i="5"/>
  <c r="K61" i="5"/>
  <c r="K84" i="5"/>
  <c r="K88" i="5"/>
  <c r="K82" i="5"/>
  <c r="K85" i="5"/>
  <c r="K49" i="5"/>
  <c r="K92" i="5"/>
  <c r="K11" i="5"/>
  <c r="K102" i="5"/>
  <c r="K39" i="5"/>
  <c r="K91" i="5"/>
  <c r="K4" i="5"/>
  <c r="K9" i="5"/>
  <c r="K81" i="5"/>
  <c r="K40" i="5"/>
  <c r="K76" i="5"/>
  <c r="K95" i="5"/>
  <c r="K97" i="5"/>
  <c r="K7" i="5"/>
  <c r="K12" i="5"/>
  <c r="K35" i="5"/>
  <c r="K79" i="5"/>
  <c r="K8" i="5"/>
  <c r="K14" i="5"/>
  <c r="K41" i="5"/>
  <c r="K70" i="5"/>
  <c r="K42" i="5"/>
  <c r="K50" i="5"/>
  <c r="K53" i="5"/>
  <c r="K57" i="5"/>
  <c r="K74" i="5"/>
  <c r="K100" i="5"/>
  <c r="K5" i="5"/>
  <c r="K51" i="5"/>
  <c r="K54" i="5"/>
  <c r="K65" i="5"/>
  <c r="K83" i="5"/>
  <c r="K87" i="5"/>
  <c r="K96" i="5"/>
  <c r="K23" i="5"/>
  <c r="K10" i="5"/>
  <c r="K13" i="5"/>
  <c r="K46" i="5"/>
  <c r="K66" i="5"/>
  <c r="K67" i="5"/>
  <c r="K71" i="5"/>
  <c r="K15" i="5"/>
  <c r="K24" i="5"/>
  <c r="K25" i="5"/>
  <c r="K47" i="5"/>
  <c r="K64" i="5"/>
  <c r="K94" i="5"/>
  <c r="K2" i="5"/>
  <c r="K3" i="5"/>
  <c r="K6" i="5"/>
  <c r="K16" i="5"/>
  <c r="K17" i="5"/>
  <c r="K18" i="5"/>
  <c r="K19" i="5"/>
  <c r="K20" i="5"/>
  <c r="K26" i="5"/>
  <c r="K27" i="5"/>
  <c r="K28" i="5"/>
  <c r="K29" i="5"/>
  <c r="K30" i="5"/>
  <c r="K31" i="5"/>
  <c r="K32" i="5"/>
  <c r="K33" i="5"/>
  <c r="K34" i="5"/>
  <c r="K36" i="5"/>
  <c r="K37" i="5"/>
  <c r="K38" i="5"/>
  <c r="K43" i="5"/>
  <c r="K44" i="5"/>
  <c r="K45" i="5"/>
  <c r="K48" i="5"/>
  <c r="K52" i="5"/>
  <c r="K55" i="5"/>
  <c r="K56" i="5"/>
  <c r="K58" i="5"/>
  <c r="K59" i="5"/>
  <c r="K60" i="5"/>
  <c r="K62" i="5"/>
  <c r="K63" i="5"/>
  <c r="K68" i="5"/>
  <c r="K69" i="5"/>
  <c r="K72" i="5"/>
  <c r="K77" i="5"/>
  <c r="K78" i="5"/>
  <c r="K80" i="5"/>
  <c r="K86" i="5"/>
  <c r="K90" i="5"/>
  <c r="K93" i="5"/>
  <c r="K98" i="5"/>
  <c r="K99" i="5"/>
  <c r="K101" i="5"/>
  <c r="K103" i="5"/>
  <c r="K104" i="5"/>
  <c r="K105" i="5"/>
  <c r="K106" i="5"/>
  <c r="K107" i="5"/>
  <c r="K108" i="5"/>
  <c r="K109" i="5"/>
  <c r="K110" i="5"/>
  <c r="K111" i="5"/>
  <c r="K112" i="5"/>
  <c r="K113" i="5"/>
  <c r="Q2" i="5"/>
  <c r="Q3" i="5"/>
  <c r="Q6" i="5"/>
  <c r="Q16" i="5"/>
  <c r="Q17" i="5"/>
  <c r="Q18" i="5"/>
  <c r="Q19" i="5"/>
  <c r="Q20" i="5"/>
  <c r="Q26" i="5"/>
  <c r="Q27" i="5"/>
  <c r="Q28" i="5"/>
  <c r="Q29" i="5"/>
  <c r="Q30" i="5"/>
  <c r="Q31" i="5"/>
  <c r="Q32" i="5"/>
  <c r="Q33" i="5"/>
  <c r="Q34" i="5"/>
  <c r="Q36" i="5"/>
  <c r="Q37" i="5"/>
  <c r="Q38" i="5"/>
  <c r="Q43" i="5"/>
  <c r="Q44" i="5"/>
  <c r="Q45" i="5"/>
  <c r="Q48" i="5"/>
  <c r="Q52" i="5"/>
  <c r="Q55" i="5"/>
  <c r="Q56" i="5"/>
  <c r="Q58" i="5"/>
  <c r="Q59" i="5"/>
  <c r="Q60" i="5"/>
  <c r="Q62" i="5"/>
  <c r="Q63" i="5"/>
  <c r="Q68" i="5"/>
  <c r="Q69" i="5"/>
  <c r="Q72" i="5"/>
  <c r="Q77" i="5"/>
  <c r="Q78" i="5"/>
  <c r="Q80" i="5"/>
  <c r="Q86" i="5"/>
  <c r="Q90" i="5"/>
  <c r="Q93" i="5"/>
  <c r="Q98" i="5"/>
  <c r="Q99" i="5"/>
  <c r="Q101" i="5"/>
  <c r="Q103" i="5"/>
  <c r="Q104" i="5"/>
  <c r="Q105" i="5"/>
  <c r="Q106" i="5"/>
  <c r="Q107" i="5"/>
  <c r="Q108" i="5"/>
  <c r="Q109" i="5"/>
  <c r="Q110" i="5"/>
  <c r="Q111" i="5"/>
  <c r="Q112" i="5"/>
  <c r="Q113" i="5"/>
  <c r="B116" i="5"/>
  <c r="G116" i="5"/>
  <c r="F116" i="5"/>
  <c r="D116" i="5"/>
  <c r="A116" i="5"/>
  <c r="B18" i="4"/>
  <c r="B83" i="4"/>
  <c r="B61" i="4"/>
  <c r="B37" i="4"/>
  <c r="B19" i="4"/>
  <c r="B16" i="4"/>
  <c r="B15" i="4"/>
  <c r="B14" i="4"/>
  <c r="B13" i="4"/>
  <c r="B12" i="4"/>
  <c r="B11" i="4"/>
  <c r="B10" i="4"/>
  <c r="B9" i="4"/>
  <c r="P2" i="5"/>
  <c r="P3" i="5"/>
  <c r="P6" i="5"/>
  <c r="P16" i="5"/>
  <c r="P17" i="5"/>
  <c r="P18" i="5"/>
  <c r="P19" i="5"/>
  <c r="P20" i="5"/>
  <c r="P26" i="5"/>
  <c r="P27" i="5"/>
  <c r="P28" i="5"/>
  <c r="P29" i="5"/>
  <c r="P30" i="5"/>
  <c r="P31" i="5"/>
  <c r="P32" i="5"/>
  <c r="P33" i="5"/>
  <c r="P34" i="5"/>
  <c r="P36" i="5"/>
  <c r="P37" i="5"/>
  <c r="P38" i="5"/>
  <c r="P43" i="5"/>
  <c r="P44" i="5"/>
  <c r="P45" i="5"/>
  <c r="P48" i="5"/>
  <c r="P52" i="5"/>
  <c r="P55" i="5"/>
  <c r="P56" i="5"/>
  <c r="P58" i="5"/>
  <c r="P59" i="5"/>
  <c r="P60" i="5"/>
  <c r="P62" i="5"/>
  <c r="P63" i="5"/>
  <c r="P68" i="5"/>
  <c r="P69" i="5"/>
  <c r="P72" i="5"/>
  <c r="P77" i="5"/>
  <c r="P78" i="5"/>
  <c r="P80" i="5"/>
  <c r="P86" i="5"/>
  <c r="P90" i="5"/>
  <c r="P93" i="5"/>
  <c r="P98" i="5"/>
  <c r="P99" i="5"/>
  <c r="P101" i="5"/>
  <c r="P103" i="5"/>
  <c r="P104" i="5"/>
  <c r="P105" i="5"/>
  <c r="P106" i="5"/>
  <c r="P107" i="5"/>
  <c r="P108" i="5"/>
  <c r="P109" i="5"/>
  <c r="P110" i="5"/>
  <c r="P111" i="5"/>
  <c r="P112" i="5"/>
  <c r="P113" i="5"/>
  <c r="O2" i="5"/>
  <c r="O3" i="5"/>
  <c r="O6" i="5"/>
  <c r="O16" i="5"/>
  <c r="O17" i="5"/>
  <c r="O18" i="5"/>
  <c r="O19" i="5"/>
  <c r="O20" i="5"/>
  <c r="O26" i="5"/>
  <c r="O27" i="5"/>
  <c r="O28" i="5"/>
  <c r="O29" i="5"/>
  <c r="O30" i="5"/>
  <c r="O31" i="5"/>
  <c r="O32" i="5"/>
  <c r="O33" i="5"/>
  <c r="O34" i="5"/>
  <c r="O36" i="5"/>
  <c r="O37" i="5"/>
  <c r="O38" i="5"/>
  <c r="O43" i="5"/>
  <c r="O44" i="5"/>
  <c r="O45" i="5"/>
  <c r="O48" i="5"/>
  <c r="O52" i="5"/>
  <c r="O55" i="5"/>
  <c r="O56" i="5"/>
  <c r="O58" i="5"/>
  <c r="O59" i="5"/>
  <c r="O60" i="5"/>
  <c r="O62" i="5"/>
  <c r="O63" i="5"/>
  <c r="O68" i="5"/>
  <c r="O69" i="5"/>
  <c r="O72" i="5"/>
  <c r="O77" i="5"/>
  <c r="O78" i="5"/>
  <c r="O80" i="5"/>
  <c r="O86" i="5"/>
  <c r="O90" i="5"/>
  <c r="O93" i="5"/>
  <c r="O98" i="5"/>
  <c r="O99" i="5"/>
  <c r="O101" i="5"/>
  <c r="O103" i="5"/>
  <c r="O104" i="5"/>
  <c r="O105" i="5"/>
  <c r="O106" i="5"/>
  <c r="O107" i="5"/>
  <c r="O108" i="5"/>
  <c r="O109" i="5"/>
  <c r="O110" i="5"/>
  <c r="O111" i="5"/>
  <c r="O112" i="5"/>
  <c r="O113" i="5"/>
  <c r="N2" i="5"/>
  <c r="N3" i="5"/>
  <c r="N6" i="5"/>
  <c r="N16" i="5"/>
  <c r="N17" i="5"/>
  <c r="N18" i="5"/>
  <c r="N19" i="5"/>
  <c r="N20" i="5"/>
  <c r="N26" i="5"/>
  <c r="N27" i="5"/>
  <c r="N28" i="5"/>
  <c r="N29" i="5"/>
  <c r="N30" i="5"/>
  <c r="N31" i="5"/>
  <c r="N32" i="5"/>
  <c r="N33" i="5"/>
  <c r="N34" i="5"/>
  <c r="N36" i="5"/>
  <c r="N37" i="5"/>
  <c r="N38" i="5"/>
  <c r="N43" i="5"/>
  <c r="N44" i="5"/>
  <c r="N45" i="5"/>
  <c r="N48" i="5"/>
  <c r="N52" i="5"/>
  <c r="N55" i="5"/>
  <c r="N56" i="5"/>
  <c r="N58" i="5"/>
  <c r="N59" i="5"/>
  <c r="N60" i="5"/>
  <c r="N62" i="5"/>
  <c r="N63" i="5"/>
  <c r="N68" i="5"/>
  <c r="N69" i="5"/>
  <c r="N72" i="5"/>
  <c r="N77" i="5"/>
  <c r="N78" i="5"/>
  <c r="N80" i="5"/>
  <c r="N86" i="5"/>
  <c r="N90" i="5"/>
  <c r="N93" i="5"/>
  <c r="N98" i="5"/>
  <c r="N99" i="5"/>
  <c r="N101" i="5"/>
  <c r="N103" i="5"/>
  <c r="N104" i="5"/>
  <c r="N105" i="5"/>
  <c r="N106" i="5"/>
  <c r="N107" i="5"/>
  <c r="N108" i="5"/>
  <c r="N109" i="5"/>
  <c r="N110" i="5"/>
  <c r="N111" i="5"/>
  <c r="N112" i="5"/>
  <c r="N113" i="5"/>
  <c r="B5" i="4"/>
  <c r="B6" i="4"/>
  <c r="B7" i="4"/>
  <c r="B4" i="4"/>
  <c r="A2" i="4"/>
  <c r="A1" i="4"/>
  <c r="J15" i="5"/>
  <c r="J24" i="5"/>
  <c r="J25" i="5"/>
  <c r="J47" i="5"/>
  <c r="J64" i="5"/>
  <c r="J94" i="5"/>
  <c r="J10" i="5"/>
  <c r="J13" i="5"/>
  <c r="J46" i="5"/>
  <c r="J66" i="5"/>
  <c r="J67" i="5"/>
  <c r="J71" i="5"/>
  <c r="J23" i="5"/>
  <c r="J5" i="5"/>
  <c r="J51" i="5"/>
  <c r="J54" i="5"/>
  <c r="J65" i="5"/>
  <c r="J83" i="5"/>
  <c r="J87" i="5"/>
  <c r="J96" i="5"/>
  <c r="J42" i="5"/>
  <c r="J50" i="5"/>
  <c r="J53" i="5"/>
  <c r="J57" i="5"/>
  <c r="J74" i="5"/>
  <c r="J100" i="5"/>
  <c r="J8" i="5"/>
  <c r="J14" i="5"/>
  <c r="J41" i="5"/>
  <c r="J70" i="5"/>
  <c r="J12" i="5"/>
  <c r="J35" i="5"/>
  <c r="J79" i="5"/>
  <c r="J7" i="5"/>
  <c r="J40" i="5"/>
  <c r="J76" i="5"/>
  <c r="J95" i="5"/>
  <c r="J97" i="5"/>
  <c r="J4" i="5"/>
  <c r="J9" i="5"/>
  <c r="J81" i="5"/>
  <c r="J39" i="5"/>
  <c r="J91" i="5"/>
  <c r="J11" i="5"/>
  <c r="J102" i="5"/>
  <c r="J92" i="5"/>
  <c r="J49" i="5"/>
  <c r="J82" i="5"/>
  <c r="J85" i="5"/>
  <c r="J88" i="5"/>
  <c r="J84" i="5"/>
  <c r="J61" i="5"/>
  <c r="J75" i="5"/>
  <c r="J22" i="5"/>
  <c r="J73" i="5"/>
  <c r="J89" i="5"/>
  <c r="J21" i="5"/>
  <c r="J2" i="5"/>
  <c r="J3" i="5"/>
  <c r="J6" i="5"/>
  <c r="J16" i="5"/>
  <c r="J17" i="5"/>
  <c r="J18" i="5"/>
  <c r="J19" i="5"/>
  <c r="J20" i="5"/>
  <c r="J26" i="5"/>
  <c r="J27" i="5"/>
  <c r="J28" i="5"/>
  <c r="J29" i="5"/>
  <c r="J30" i="5"/>
  <c r="J31" i="5"/>
  <c r="J32" i="5"/>
  <c r="J33" i="5"/>
  <c r="J34" i="5"/>
  <c r="J36" i="5"/>
  <c r="J37" i="5"/>
  <c r="J38" i="5"/>
  <c r="J43" i="5"/>
  <c r="J44" i="5"/>
  <c r="J45" i="5"/>
  <c r="J48" i="5"/>
  <c r="J52" i="5"/>
  <c r="J55" i="5"/>
  <c r="J56" i="5"/>
  <c r="J58" i="5"/>
  <c r="J59" i="5"/>
  <c r="J60" i="5"/>
  <c r="J62" i="5"/>
  <c r="J63" i="5"/>
  <c r="J68" i="5"/>
  <c r="J69" i="5"/>
  <c r="J72" i="5"/>
  <c r="J77" i="5"/>
  <c r="J78" i="5"/>
  <c r="J80" i="5"/>
  <c r="J86" i="5"/>
  <c r="J90" i="5"/>
  <c r="J93" i="5"/>
  <c r="J98" i="5"/>
  <c r="J99" i="5"/>
  <c r="J101" i="5"/>
  <c r="J103" i="5"/>
  <c r="J104" i="5"/>
  <c r="J105" i="5"/>
  <c r="J106" i="5"/>
  <c r="J107" i="5"/>
  <c r="J108" i="5"/>
  <c r="J109" i="5"/>
  <c r="J110" i="5"/>
  <c r="J111" i="5"/>
  <c r="J112" i="5"/>
  <c r="J113" i="5"/>
  <c r="H15" i="5"/>
  <c r="H24" i="5"/>
  <c r="H25" i="5"/>
  <c r="H47" i="5"/>
  <c r="H64" i="5"/>
  <c r="H94" i="5"/>
  <c r="H10" i="5"/>
  <c r="H13" i="5"/>
  <c r="H46" i="5"/>
  <c r="H66" i="5"/>
  <c r="H67" i="5"/>
  <c r="H71" i="5"/>
  <c r="H23" i="5"/>
  <c r="H5" i="5"/>
  <c r="H51" i="5"/>
  <c r="H54" i="5"/>
  <c r="H65" i="5"/>
  <c r="H83" i="5"/>
  <c r="H87" i="5"/>
  <c r="H96" i="5"/>
  <c r="H42" i="5"/>
  <c r="H50" i="5"/>
  <c r="H53" i="5"/>
  <c r="H57" i="5"/>
  <c r="H74" i="5"/>
  <c r="H100" i="5"/>
  <c r="H8" i="5"/>
  <c r="H14" i="5"/>
  <c r="H41" i="5"/>
  <c r="H70" i="5"/>
  <c r="H12" i="5"/>
  <c r="H35" i="5"/>
  <c r="H79" i="5"/>
  <c r="H7" i="5"/>
  <c r="H40" i="5"/>
  <c r="H76" i="5"/>
  <c r="H95" i="5"/>
  <c r="H97" i="5"/>
  <c r="H4" i="5"/>
  <c r="H9" i="5"/>
  <c r="H81" i="5"/>
  <c r="H39" i="5"/>
  <c r="H91" i="5"/>
  <c r="H11" i="5"/>
  <c r="H102" i="5"/>
  <c r="H92" i="5"/>
  <c r="H49" i="5"/>
  <c r="H82" i="5"/>
  <c r="H85" i="5"/>
  <c r="H88" i="5"/>
  <c r="H84" i="5"/>
  <c r="H61" i="5"/>
  <c r="H75" i="5"/>
  <c r="H22" i="5"/>
  <c r="H73" i="5"/>
  <c r="H89" i="5"/>
  <c r="H21" i="5"/>
  <c r="H2" i="5"/>
  <c r="H3" i="5"/>
  <c r="H6" i="5"/>
  <c r="H16" i="5"/>
  <c r="H17" i="5"/>
  <c r="H18" i="5"/>
  <c r="H19" i="5"/>
  <c r="H20" i="5"/>
  <c r="H26" i="5"/>
  <c r="H27" i="5"/>
  <c r="H28" i="5"/>
  <c r="H29" i="5"/>
  <c r="H30" i="5"/>
  <c r="H31" i="5"/>
  <c r="H32" i="5"/>
  <c r="H33" i="5"/>
  <c r="H34" i="5"/>
  <c r="H36" i="5"/>
  <c r="H37" i="5"/>
  <c r="H38" i="5"/>
  <c r="H43" i="5"/>
  <c r="H44" i="5"/>
  <c r="H45" i="5"/>
  <c r="H48" i="5"/>
  <c r="H52" i="5"/>
  <c r="H55" i="5"/>
  <c r="H56" i="5"/>
  <c r="H58" i="5"/>
  <c r="H59" i="5"/>
  <c r="H60" i="5"/>
  <c r="H62" i="5"/>
  <c r="H63" i="5"/>
  <c r="H68" i="5"/>
  <c r="H69" i="5"/>
  <c r="H72" i="5"/>
  <c r="H77" i="5"/>
  <c r="H78" i="5"/>
  <c r="H80" i="5"/>
  <c r="H86" i="5"/>
  <c r="H90" i="5"/>
  <c r="H93" i="5"/>
  <c r="H98" i="5"/>
  <c r="H99" i="5"/>
  <c r="H101" i="5"/>
  <c r="H103" i="5"/>
  <c r="H104" i="5"/>
  <c r="H105" i="5"/>
  <c r="H106" i="5"/>
  <c r="H107" i="5"/>
  <c r="H108" i="5"/>
  <c r="H109" i="5"/>
  <c r="H110" i="5"/>
  <c r="H111" i="5"/>
  <c r="H112" i="5"/>
  <c r="H113" i="5"/>
  <c r="E15" i="5"/>
  <c r="E24" i="5"/>
  <c r="E25" i="5"/>
  <c r="E47" i="5"/>
  <c r="E64" i="5"/>
  <c r="E94" i="5"/>
  <c r="E10" i="5"/>
  <c r="E13" i="5"/>
  <c r="E46" i="5"/>
  <c r="E66" i="5"/>
  <c r="E67" i="5"/>
  <c r="E71" i="5"/>
  <c r="E23" i="5"/>
  <c r="E5" i="5"/>
  <c r="E51" i="5"/>
  <c r="E54" i="5"/>
  <c r="E65" i="5"/>
  <c r="E83" i="5"/>
  <c r="E87" i="5"/>
  <c r="E96" i="5"/>
  <c r="E42" i="5"/>
  <c r="E50" i="5"/>
  <c r="E53" i="5"/>
  <c r="E57" i="5"/>
  <c r="E74" i="5"/>
  <c r="E100" i="5"/>
  <c r="E8" i="5"/>
  <c r="E14" i="5"/>
  <c r="E41" i="5"/>
  <c r="E70" i="5"/>
  <c r="E12" i="5"/>
  <c r="E35" i="5"/>
  <c r="E79" i="5"/>
  <c r="E7" i="5"/>
  <c r="E40" i="5"/>
  <c r="E76" i="5"/>
  <c r="E95" i="5"/>
  <c r="E97" i="5"/>
  <c r="E4" i="5"/>
  <c r="E9" i="5"/>
  <c r="E81" i="5"/>
  <c r="E39" i="5"/>
  <c r="E91" i="5"/>
  <c r="E11" i="5"/>
  <c r="E102" i="5"/>
  <c r="E92" i="5"/>
  <c r="E49" i="5"/>
  <c r="E82" i="5"/>
  <c r="E85" i="5"/>
  <c r="E88" i="5"/>
  <c r="E84" i="5"/>
  <c r="E61" i="5"/>
  <c r="E75" i="5"/>
  <c r="E22" i="5"/>
  <c r="E73" i="5"/>
  <c r="E89" i="5"/>
  <c r="E21" i="5"/>
  <c r="E2" i="5"/>
  <c r="E3" i="5"/>
  <c r="E6" i="5"/>
  <c r="E16" i="5"/>
  <c r="E17" i="5"/>
  <c r="E18" i="5"/>
  <c r="E19" i="5"/>
  <c r="E20" i="5"/>
  <c r="E26" i="5"/>
  <c r="E27" i="5"/>
  <c r="E28" i="5"/>
  <c r="E29" i="5"/>
  <c r="E30" i="5"/>
  <c r="E31" i="5"/>
  <c r="E32" i="5"/>
  <c r="E33" i="5"/>
  <c r="E34" i="5"/>
  <c r="E36" i="5"/>
  <c r="E37" i="5"/>
  <c r="E38" i="5"/>
  <c r="E43" i="5"/>
  <c r="E44" i="5"/>
  <c r="E45" i="5"/>
  <c r="E48" i="5"/>
  <c r="E52" i="5"/>
  <c r="E55" i="5"/>
  <c r="E56" i="5"/>
  <c r="E58" i="5"/>
  <c r="E59" i="5"/>
  <c r="E60" i="5"/>
  <c r="E62" i="5"/>
  <c r="E63" i="5"/>
  <c r="E68" i="5"/>
  <c r="E69" i="5"/>
  <c r="E72" i="5"/>
  <c r="E77" i="5"/>
  <c r="E78" i="5"/>
  <c r="E80" i="5"/>
  <c r="E86" i="5"/>
  <c r="E90" i="5"/>
  <c r="E93" i="5"/>
  <c r="E98" i="5"/>
  <c r="E99" i="5"/>
  <c r="E101" i="5"/>
  <c r="E103" i="5"/>
  <c r="E104" i="5"/>
  <c r="E105" i="5"/>
  <c r="E106" i="5"/>
  <c r="E107" i="5"/>
  <c r="E108" i="5"/>
  <c r="E109" i="5"/>
  <c r="E110" i="5"/>
  <c r="E111" i="5"/>
  <c r="E112" i="5"/>
  <c r="E113" i="5"/>
  <c r="B67" i="5"/>
  <c r="C67" i="5"/>
  <c r="O102" i="5" l="1"/>
  <c r="O92" i="5"/>
  <c r="O82" i="5"/>
  <c r="O85" i="5"/>
  <c r="O84" i="5"/>
  <c r="O61" i="5"/>
  <c r="O73" i="5"/>
  <c r="O21" i="5"/>
  <c r="E116" i="5"/>
  <c r="O11" i="5"/>
  <c r="O49" i="5"/>
  <c r="O88" i="5"/>
  <c r="O75" i="5"/>
  <c r="O89" i="5"/>
  <c r="O22" i="5"/>
  <c r="Q21" i="5"/>
  <c r="Q89" i="5"/>
  <c r="Q73" i="5"/>
  <c r="Q22" i="5"/>
  <c r="Q75" i="5"/>
  <c r="Q61" i="5"/>
  <c r="Q84" i="5"/>
  <c r="Q88" i="5"/>
  <c r="Q82" i="5"/>
  <c r="Q85" i="5"/>
  <c r="Q49" i="5"/>
  <c r="Q92" i="5"/>
  <c r="Q11" i="5"/>
  <c r="Q102" i="5"/>
  <c r="Q39" i="5"/>
  <c r="Q91" i="5"/>
  <c r="Q4" i="5"/>
  <c r="Q9" i="5"/>
  <c r="Q81" i="5"/>
  <c r="Q40" i="5"/>
  <c r="Q76" i="5"/>
  <c r="Q95" i="5"/>
  <c r="Q97" i="5"/>
  <c r="Q7" i="5"/>
  <c r="Q12" i="5"/>
  <c r="Q35" i="5"/>
  <c r="Q79" i="5"/>
  <c r="Q8" i="5"/>
  <c r="Q14" i="5"/>
  <c r="Q41" i="5"/>
  <c r="Q70" i="5"/>
  <c r="Q42" i="5"/>
  <c r="Q50" i="5"/>
  <c r="Q53" i="5"/>
  <c r="Q57" i="5"/>
  <c r="Q74" i="5"/>
  <c r="Q100" i="5"/>
  <c r="Q5" i="5"/>
  <c r="Q51" i="5"/>
  <c r="Q54" i="5"/>
  <c r="Q65" i="5"/>
  <c r="Q83" i="5"/>
  <c r="Q87" i="5"/>
  <c r="Q96" i="5"/>
  <c r="Q23" i="5"/>
  <c r="Q10" i="5"/>
  <c r="Q13" i="5"/>
  <c r="Q46" i="5"/>
  <c r="Q66" i="5"/>
  <c r="Q67" i="5"/>
  <c r="Q71" i="5"/>
  <c r="Q15" i="5"/>
  <c r="Q24" i="5"/>
  <c r="Q25" i="5"/>
  <c r="Q47" i="5"/>
  <c r="Q64" i="5"/>
  <c r="Q94" i="5"/>
  <c r="P11" i="5"/>
  <c r="N21" i="5"/>
  <c r="P21" i="5"/>
  <c r="P89" i="5"/>
  <c r="P73" i="5"/>
  <c r="P22" i="5"/>
  <c r="P75" i="5"/>
  <c r="P61" i="5"/>
  <c r="P84" i="5"/>
  <c r="P88" i="5"/>
  <c r="P82" i="5"/>
  <c r="P85" i="5"/>
  <c r="P49" i="5"/>
  <c r="P92" i="5"/>
  <c r="P102" i="5"/>
  <c r="P39" i="5"/>
  <c r="P91" i="5"/>
  <c r="P4" i="5"/>
  <c r="P9" i="5"/>
  <c r="P81" i="5"/>
  <c r="P40" i="5"/>
  <c r="P76" i="5"/>
  <c r="P95" i="5"/>
  <c r="P97" i="5"/>
  <c r="P7" i="5"/>
  <c r="P12" i="5"/>
  <c r="P35" i="5"/>
  <c r="P79" i="5"/>
  <c r="P8" i="5"/>
  <c r="P14" i="5"/>
  <c r="P41" i="5"/>
  <c r="P70" i="5"/>
  <c r="P42" i="5"/>
  <c r="P50" i="5"/>
  <c r="P53" i="5"/>
  <c r="P57" i="5"/>
  <c r="P74" i="5"/>
  <c r="P100" i="5"/>
  <c r="P5" i="5"/>
  <c r="P51" i="5"/>
  <c r="P54" i="5"/>
  <c r="P65" i="5"/>
  <c r="P83" i="5"/>
  <c r="P87" i="5"/>
  <c r="P96" i="5"/>
  <c r="P23" i="5"/>
  <c r="P10" i="5"/>
  <c r="P13" i="5"/>
  <c r="P46" i="5"/>
  <c r="P66" i="5"/>
  <c r="P67" i="5"/>
  <c r="P71" i="5"/>
  <c r="P15" i="5"/>
  <c r="P24" i="5"/>
  <c r="P25" i="5"/>
  <c r="P47" i="5"/>
  <c r="P64" i="5"/>
  <c r="P94" i="5"/>
  <c r="N15" i="5"/>
  <c r="O15" i="5"/>
  <c r="O24" i="5"/>
  <c r="N24" i="5"/>
  <c r="O25" i="5"/>
  <c r="N25" i="5"/>
  <c r="O47" i="5"/>
  <c r="N47" i="5"/>
  <c r="O64" i="5"/>
  <c r="N64" i="5"/>
  <c r="N94" i="5"/>
  <c r="O94" i="5"/>
  <c r="O10" i="5"/>
  <c r="N10" i="5"/>
  <c r="O13" i="5"/>
  <c r="N13" i="5"/>
  <c r="N46" i="5"/>
  <c r="O46" i="5"/>
  <c r="N66" i="5"/>
  <c r="O66" i="5"/>
  <c r="N67" i="5"/>
  <c r="O67" i="5"/>
  <c r="O71" i="5"/>
  <c r="N71" i="5"/>
  <c r="N23" i="5"/>
  <c r="O23" i="5"/>
  <c r="N5" i="5"/>
  <c r="O5" i="5"/>
  <c r="N51" i="5"/>
  <c r="O51" i="5"/>
  <c r="N54" i="5"/>
  <c r="O54" i="5"/>
  <c r="N65" i="5"/>
  <c r="O65" i="5"/>
  <c r="N83" i="5"/>
  <c r="O83" i="5"/>
  <c r="N87" i="5"/>
  <c r="O87" i="5"/>
  <c r="N96" i="5"/>
  <c r="O96" i="5"/>
  <c r="N42" i="5"/>
  <c r="O42" i="5"/>
  <c r="O50" i="5"/>
  <c r="N50" i="5"/>
  <c r="O53" i="5"/>
  <c r="N53" i="5"/>
  <c r="N57" i="5"/>
  <c r="O57" i="5"/>
  <c r="N74" i="5"/>
  <c r="O74" i="5"/>
  <c r="N100" i="5"/>
  <c r="O100" i="5"/>
  <c r="N8" i="5"/>
  <c r="O8" i="5"/>
  <c r="O14" i="5"/>
  <c r="N14" i="5"/>
  <c r="N41" i="5"/>
  <c r="O41" i="5"/>
  <c r="O70" i="5"/>
  <c r="N70" i="5"/>
  <c r="N12" i="5"/>
  <c r="O12" i="5"/>
  <c r="N35" i="5"/>
  <c r="O35" i="5"/>
  <c r="N79" i="5"/>
  <c r="O79" i="5"/>
  <c r="O7" i="5"/>
  <c r="N7" i="5"/>
  <c r="O40" i="5"/>
  <c r="N40" i="5"/>
  <c r="O76" i="5"/>
  <c r="N76" i="5"/>
  <c r="O95" i="5"/>
  <c r="N95" i="5"/>
  <c r="O97" i="5"/>
  <c r="N97" i="5"/>
  <c r="O4" i="5"/>
  <c r="N4" i="5"/>
  <c r="O9" i="5"/>
  <c r="N9" i="5"/>
  <c r="O81" i="5"/>
  <c r="N81" i="5"/>
  <c r="N39" i="5"/>
  <c r="O39" i="5"/>
  <c r="N91" i="5"/>
  <c r="O91" i="5"/>
  <c r="N11" i="5"/>
  <c r="N102" i="5"/>
  <c r="N92" i="5"/>
  <c r="N49" i="5"/>
  <c r="N82" i="5"/>
  <c r="N85" i="5"/>
  <c r="N88" i="5"/>
  <c r="N84" i="5"/>
  <c r="N61" i="5"/>
  <c r="N75" i="5"/>
  <c r="N22" i="5"/>
  <c r="N73" i="5"/>
  <c r="N89" i="5"/>
  <c r="M71" i="5"/>
  <c r="M94" i="5"/>
  <c r="M18" i="5"/>
  <c r="M26" i="5"/>
  <c r="M31" i="5"/>
  <c r="M105" i="5"/>
  <c r="M107" i="5"/>
  <c r="M112" i="5"/>
  <c r="M67" i="5"/>
  <c r="M24" i="5"/>
  <c r="M47" i="5"/>
  <c r="M64" i="5"/>
  <c r="M3" i="5"/>
  <c r="M6" i="5"/>
  <c r="M19" i="5"/>
  <c r="M27" i="5"/>
  <c r="M29" i="5"/>
  <c r="M104" i="5"/>
  <c r="M106" i="5"/>
  <c r="M113" i="5"/>
  <c r="M25" i="5"/>
  <c r="M111" i="5"/>
  <c r="M15" i="5"/>
  <c r="M2" i="5"/>
  <c r="M16" i="5"/>
  <c r="M17" i="5"/>
  <c r="M20" i="5"/>
  <c r="M28" i="5"/>
  <c r="M30" i="5"/>
  <c r="M103" i="5"/>
  <c r="M108" i="5"/>
  <c r="M109" i="5"/>
  <c r="M110" i="5"/>
  <c r="M32" i="5"/>
  <c r="M33" i="5"/>
  <c r="M34" i="5"/>
  <c r="M36" i="5"/>
  <c r="M37" i="5"/>
  <c r="M38" i="5"/>
  <c r="M43" i="5"/>
  <c r="M44" i="5"/>
  <c r="M45" i="5"/>
  <c r="M48" i="5"/>
  <c r="M52" i="5"/>
  <c r="M55" i="5"/>
  <c r="M56" i="5"/>
  <c r="M58" i="5"/>
  <c r="M59" i="5"/>
  <c r="M60" i="5"/>
  <c r="M62" i="5"/>
  <c r="M63" i="5"/>
  <c r="M68" i="5"/>
  <c r="M69" i="5"/>
  <c r="M72" i="5"/>
  <c r="M77" i="5"/>
  <c r="M78" i="5"/>
  <c r="M80" i="5"/>
  <c r="M86" i="5"/>
  <c r="M90" i="5"/>
  <c r="M93" i="5"/>
  <c r="M98" i="5"/>
  <c r="M99" i="5"/>
  <c r="M101" i="5"/>
  <c r="M21" i="5"/>
  <c r="M75" i="5"/>
  <c r="M84" i="5"/>
  <c r="M82" i="5"/>
  <c r="M85" i="5"/>
  <c r="M92" i="5"/>
  <c r="M102" i="5"/>
  <c r="M91" i="5"/>
  <c r="M9" i="5"/>
  <c r="M40" i="5"/>
  <c r="M95" i="5"/>
  <c r="M7" i="5"/>
  <c r="M35" i="5"/>
  <c r="M8" i="5"/>
  <c r="M41" i="5"/>
  <c r="M70" i="5"/>
  <c r="M50" i="5"/>
  <c r="M57" i="5"/>
  <c r="M100" i="5"/>
  <c r="M51" i="5"/>
  <c r="M65" i="5"/>
  <c r="M87" i="5"/>
  <c r="M23" i="5"/>
  <c r="M13" i="5"/>
  <c r="M66" i="5"/>
  <c r="M22" i="5"/>
  <c r="M61" i="5"/>
  <c r="M88" i="5"/>
  <c r="M49" i="5"/>
  <c r="M11" i="5"/>
  <c r="M39" i="5"/>
  <c r="M4" i="5"/>
  <c r="M81" i="5"/>
  <c r="M76" i="5"/>
  <c r="M97" i="5"/>
  <c r="M12" i="5"/>
  <c r="M79" i="5"/>
  <c r="M14" i="5"/>
  <c r="M42" i="5"/>
  <c r="M53" i="5"/>
  <c r="M74" i="5"/>
  <c r="M5" i="5"/>
  <c r="M54" i="5"/>
  <c r="M83" i="5"/>
  <c r="M96" i="5"/>
  <c r="M10" i="5"/>
  <c r="M46" i="5"/>
  <c r="M73" i="5"/>
  <c r="M89" i="5"/>
  <c r="I15" i="5"/>
  <c r="L15" i="5"/>
  <c r="I24" i="5"/>
  <c r="L24" i="5"/>
  <c r="I25" i="5"/>
  <c r="L25" i="5"/>
  <c r="I47" i="5"/>
  <c r="L47" i="5"/>
  <c r="I64" i="5"/>
  <c r="L64" i="5"/>
  <c r="I94" i="5"/>
  <c r="L94" i="5"/>
  <c r="I10" i="5"/>
  <c r="L10" i="5"/>
  <c r="I13" i="5"/>
  <c r="L13" i="5"/>
  <c r="I46" i="5"/>
  <c r="L46" i="5"/>
  <c r="I66" i="5"/>
  <c r="L66" i="5"/>
  <c r="I67" i="5"/>
  <c r="L67" i="5"/>
  <c r="I71" i="5"/>
  <c r="L71" i="5"/>
  <c r="I23" i="5"/>
  <c r="L23" i="5"/>
  <c r="I5" i="5"/>
  <c r="L5" i="5"/>
  <c r="I51" i="5"/>
  <c r="L51" i="5"/>
  <c r="I54" i="5"/>
  <c r="L54" i="5"/>
  <c r="I65" i="5"/>
  <c r="L65" i="5"/>
  <c r="I83" i="5"/>
  <c r="L83" i="5"/>
  <c r="I87" i="5"/>
  <c r="L87" i="5"/>
  <c r="I96" i="5"/>
  <c r="L96" i="5"/>
  <c r="I42" i="5"/>
  <c r="L42" i="5"/>
  <c r="I50" i="5"/>
  <c r="L50" i="5"/>
  <c r="I53" i="5"/>
  <c r="L53" i="5"/>
  <c r="I57" i="5"/>
  <c r="L57" i="5"/>
  <c r="I74" i="5"/>
  <c r="L74" i="5"/>
  <c r="I100" i="5"/>
  <c r="L100" i="5"/>
  <c r="I8" i="5"/>
  <c r="L8" i="5"/>
  <c r="I14" i="5"/>
  <c r="L14" i="5"/>
  <c r="I41" i="5"/>
  <c r="L41" i="5"/>
  <c r="I70" i="5"/>
  <c r="L70" i="5"/>
  <c r="I12" i="5"/>
  <c r="L12" i="5"/>
  <c r="I35" i="5"/>
  <c r="L35" i="5"/>
  <c r="I79" i="5"/>
  <c r="L79" i="5"/>
  <c r="I7" i="5"/>
  <c r="L7" i="5"/>
  <c r="I40" i="5"/>
  <c r="L40" i="5"/>
  <c r="I76" i="5"/>
  <c r="L76" i="5"/>
  <c r="I95" i="5"/>
  <c r="L95" i="5"/>
  <c r="I97" i="5"/>
  <c r="L97" i="5"/>
  <c r="I4" i="5"/>
  <c r="L4" i="5"/>
  <c r="I9" i="5"/>
  <c r="L9" i="5"/>
  <c r="I81" i="5"/>
  <c r="L81" i="5"/>
  <c r="I39" i="5"/>
  <c r="L39" i="5"/>
  <c r="I91" i="5"/>
  <c r="L91" i="5"/>
  <c r="I11" i="5"/>
  <c r="L11" i="5"/>
  <c r="I102" i="5"/>
  <c r="L102" i="5"/>
  <c r="I92" i="5"/>
  <c r="L92" i="5"/>
  <c r="I49" i="5"/>
  <c r="L49" i="5"/>
  <c r="I82" i="5"/>
  <c r="L82" i="5"/>
  <c r="I85" i="5"/>
  <c r="L85" i="5"/>
  <c r="I88" i="5"/>
  <c r="L88" i="5"/>
  <c r="I84" i="5"/>
  <c r="L84" i="5"/>
  <c r="I61" i="5"/>
  <c r="L61" i="5"/>
  <c r="I75" i="5"/>
  <c r="L75" i="5"/>
  <c r="I22" i="5"/>
  <c r="L22" i="5"/>
  <c r="I73" i="5"/>
  <c r="L73" i="5"/>
  <c r="I89" i="5"/>
  <c r="L89" i="5"/>
  <c r="I21" i="5"/>
  <c r="L21" i="5"/>
  <c r="I2" i="5"/>
  <c r="L2" i="5"/>
  <c r="I3" i="5"/>
  <c r="L3" i="5"/>
  <c r="I6" i="5"/>
  <c r="L6" i="5"/>
  <c r="I16" i="5"/>
  <c r="L16" i="5"/>
  <c r="I17" i="5"/>
  <c r="L17" i="5"/>
  <c r="I18" i="5"/>
  <c r="L18" i="5"/>
  <c r="I19" i="5"/>
  <c r="L19" i="5"/>
  <c r="I20" i="5"/>
  <c r="L20" i="5"/>
  <c r="I26" i="5"/>
  <c r="L26" i="5"/>
  <c r="I27" i="5"/>
  <c r="L27" i="5"/>
  <c r="I28" i="5"/>
  <c r="L28" i="5"/>
  <c r="I29" i="5"/>
  <c r="L29" i="5"/>
  <c r="I30" i="5"/>
  <c r="L30" i="5"/>
  <c r="I31" i="5"/>
  <c r="L31" i="5"/>
  <c r="I32" i="5"/>
  <c r="L32" i="5"/>
  <c r="I33" i="5"/>
  <c r="L33" i="5"/>
  <c r="I34" i="5"/>
  <c r="L34" i="5"/>
  <c r="I36" i="5"/>
  <c r="L36" i="5"/>
  <c r="I37" i="5"/>
  <c r="L37" i="5"/>
  <c r="I38" i="5"/>
  <c r="L38" i="5"/>
  <c r="I43" i="5"/>
  <c r="L43" i="5"/>
  <c r="I44" i="5"/>
  <c r="L44" i="5"/>
  <c r="I45" i="5"/>
  <c r="L45" i="5"/>
  <c r="I48" i="5"/>
  <c r="L48" i="5"/>
  <c r="I52" i="5"/>
  <c r="L52" i="5"/>
  <c r="I55" i="5"/>
  <c r="L55" i="5"/>
  <c r="I56" i="5"/>
  <c r="L56" i="5"/>
  <c r="I58" i="5"/>
  <c r="L58" i="5"/>
  <c r="I59" i="5"/>
  <c r="L59" i="5"/>
  <c r="I60" i="5"/>
  <c r="L60" i="5"/>
  <c r="L62" i="5"/>
  <c r="I62" i="5"/>
  <c r="I63" i="5"/>
  <c r="L63" i="5"/>
  <c r="I68" i="5"/>
  <c r="L68" i="5"/>
  <c r="L69" i="5"/>
  <c r="I69" i="5"/>
  <c r="L72" i="5"/>
  <c r="I72" i="5"/>
  <c r="I77" i="5"/>
  <c r="L77" i="5"/>
  <c r="L78" i="5"/>
  <c r="I78" i="5"/>
  <c r="I80" i="5"/>
  <c r="L80" i="5"/>
  <c r="L86" i="5"/>
  <c r="I86" i="5"/>
  <c r="I90" i="5"/>
  <c r="L90" i="5"/>
  <c r="I93" i="5"/>
  <c r="L93" i="5"/>
  <c r="L98" i="5"/>
  <c r="I98" i="5"/>
  <c r="L99" i="5"/>
  <c r="I99" i="5"/>
  <c r="I101" i="5"/>
  <c r="L101" i="5"/>
  <c r="I103" i="5"/>
  <c r="L103" i="5"/>
  <c r="I104" i="5"/>
  <c r="L104" i="5"/>
  <c r="I105" i="5"/>
  <c r="L105" i="5"/>
  <c r="L106" i="5"/>
  <c r="I106" i="5"/>
  <c r="L107" i="5"/>
  <c r="I107" i="5"/>
  <c r="I108" i="5"/>
  <c r="L108" i="5"/>
  <c r="L109" i="5"/>
  <c r="I109" i="5"/>
  <c r="L110" i="5"/>
  <c r="I110" i="5"/>
  <c r="I111" i="5"/>
  <c r="L111" i="5"/>
  <c r="L112" i="5"/>
  <c r="I112" i="5"/>
  <c r="L113" i="5"/>
  <c r="I1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AD7912-8510-4546-9F71-CB348C4D45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ED5D5F-F69F-482C-98E1-D483079D11B6}" name="WorksheetConnection_Excel_jumia_dataset (1).xlsx!tblproducts" type="102" refreshedVersion="8" minRefreshableVersion="5">
    <extLst>
      <ext xmlns:x15="http://schemas.microsoft.com/office/spreadsheetml/2010/11/main" uri="{DE250136-89BD-433C-8126-D09CA5730AF9}">
        <x15:connection id="tblproducts" autoDelete="1">
          <x15:rangePr sourceName="_xlcn.WorksheetConnection_Excel_jumia_dataset1.xlsxtblproduct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blproducts].[High Discount &amp;Low Rating].&amp;[Yes]}"/>
    <s v="{[tblproducts].[High Discount &amp;Low Engagement].&amp;[Yes]}"/>
    <s v="{[tblproducts].[Many Reviews &amp;Average Rating].[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<sst xmlns="http://schemas.openxmlformats.org/spreadsheetml/2006/main" count="878" uniqueCount="431">
  <si>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</si>
  <si>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</si>
  <si>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</si>
  <si>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</si>
  <si>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</si>
  <si>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</si>
  <si>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</si>
  <si>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</si>
  <si>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</si>
  <si>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</si>
  <si>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</si>
  <si>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</si>
  <si>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</si>
  <si>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</si>
  <si>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</si>
  <si>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</si>
  <si>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</si>
  <si>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</si>
  <si>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</si>
  <si>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</si>
  <si>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</si>
  <si>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</si>
  <si>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</si>
  <si>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</si>
  <si>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</si>
  <si>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</si>
  <si>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</si>
  <si>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</si>
  <si>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</si>
  <si>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</si>
  <si>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</si>
  <si>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</si>
  <si>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</si>
  <si>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</si>
  <si>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</si>
  <si>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</si>
  <si>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</si>
  <si>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</si>
  <si>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</si>
  <si>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</si>
  <si>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</si>
  <si>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</si>
  <si>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</si>
  <si>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</si>
  <si>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</si>
  <si>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</si>
  <si>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</si>
  <si>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</si>
  <si>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</si>
  <si>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</si>
  <si>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</si>
  <si>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</si>
  <si>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</si>
  <si>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</si>
  <si>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</si>
  <si>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</si>
  <si>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</si>
  <si>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</si>
  <si>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</si>
  <si>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</si>
  <si>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</si>
  <si>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</si>
  <si>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</si>
  <si>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</si>
  <si>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</si>
  <si>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</si>
  <si>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</si>
  <si>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</si>
  <si>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</si>
  <si>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</si>
  <si>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</si>
  <si>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</si>
  <si>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</si>
  <si>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</si>
  <si>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</si>
  <si>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</si>
  <si>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</si>
  <si>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</si>
  <si>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</si>
  <si>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</si>
  <si>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</si>
  <si>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</si>
  <si>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</si>
  <si>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</si>
  <si>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</si>
  <si>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</si>
  <si>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</si>
  <si>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</si>
  <si>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</si>
  <si>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</si>
  <si>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</si>
  <si>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</si>
  <si>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</si>
  <si>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</si>
  <si>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</si>
  <si>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</si>
  <si>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</si>
  <si>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</si>
  <si>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</si>
  <si>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</si>
  <si>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</si>
  <si>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</si>
  <si>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</si>
  <si>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</si>
  <si>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</si>
  <si>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</si>
  <si>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</si>
  <si>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</si>
  <si>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</si>
  <si>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</si>
  <si>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</si>
  <si>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</si>
  <si>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</si>
  <si>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</si>
  <si>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</si>
  <si>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</si>
  <si>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</si>
  <si>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</si>
  <si>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</si>
  <si>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</si>
  <si>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</si>
  <si>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</si>
  <si>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</si>
  <si>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</si>
  <si>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</si>
  <si>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</si>
  <si>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</si>
  <si>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</si>
  <si>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</si>
  <si>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</si>
  <si>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</si>
  <si>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</si>
  <si>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</si>
  <si>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</si>
  <si>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</si>
  <si>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</si>
  <si>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</si>
  <si>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</si>
  <si>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</si>
  <si>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</si>
  <si>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</si>
  <si>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</si>
  <si>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</si>
  <si>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</si>
  <si>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</si>
  <si>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</si>
  <si>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</si>
  <si>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</si>
  <si>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</si>
  <si>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</si>
  <si>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</si>
  <si>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</si>
  <si>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</si>
  <si>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</si>
  <si>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</si>
  <si>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</si>
  <si>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</si>
  <si>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</si>
  <si>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</si>
  <si>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</si>
  <si>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</si>
  <si>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</si>
  <si>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</si>
  <si>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</si>
  <si>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</si>
  <si>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</si>
  <si>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</si>
  <si>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</si>
  <si>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</si>
  <si>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</si>
  <si>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</si>
  <si>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</si>
  <si>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</si>
  <si>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</si>
  <si>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</si>
  <si>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</si>
  <si>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</si>
  <si>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</si>
  <si>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</si>
  <si>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</si>
  <si>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</si>
  <si>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</si>
  <si>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</si>
  <si>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</si>
  <si>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</si>
  <si>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</si>
  <si>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</si>
  <si>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</si>
  <si>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</si>
  <si>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</si>
  <si>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</si>
  <si>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</si>
  <si>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</si>
  <si>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</si>
  <si>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</si>
  <si>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</si>
  <si>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</si>
  <si>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</si>
  <si>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</si>
  <si>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</si>
  <si>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</si>
  <si>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</si>
  <si>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</si>
  <si>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</si>
  <si>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</si>
  <si>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</si>
  <si>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</si>
  <si>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</si>
  <si>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</si>
  <si>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</si>
  <si>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</si>
  <si>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</si>
  <si>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</si>
  <si>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</si>
  <si>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</si>
  <si>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</si>
  <si>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</si>
  <si>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</si>
  <si>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</si>
  <si>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</si>
  <si>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</si>
  <si>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</si>
  <si>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</si>
  <si>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</si>
  <si>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</si>
  <si>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</si>
  <si>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</si>
  <si>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</si>
  <si>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</si>
  <si>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</si>
  <si>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</si>
  <si>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</si>
  <si>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</si>
  <si>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</si>
  <si>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</si>
  <si>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</si>
  <si>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</si>
  <si>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</si>
  <si>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</si>
  <si>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</si>
  <si>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</si>
  <si>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</si>
  <si>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</si>
  <si>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</si>
  <si>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</si>
  <si>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</si>
  <si>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</si>
  <si>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</si>
  <si>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</si>
  <si>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</si>
  <si>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</si>
  <si>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</si>
  <si>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</si>
  <si>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</si>
  <si>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</si>
  <si>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</si>
  <si>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</si>
  <si>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</si>
  <si>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</si>
  <si>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</si>
  <si>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</si>
  <si>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</si>
  <si>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</si>
  <si>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</si>
  <si>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</si>
  <si>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</si>
  <si>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</si>
  <si>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</si>
  <si>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</si>
  <si>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</si>
  <si>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</si>
  <si>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</si>
  <si>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</si>
  <si>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</si>
  <si>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</si>
  <si>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</si>
  <si>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</si>
  <si>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</si>
  <si>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</si>
  <si>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</si>
  <si>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</si>
  <si>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</si>
  <si>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</si>
  <si>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</si>
  <si>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</si>
  <si>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</si>
  <si>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</si>
  <si>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</si>
  <si>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</si>
  <si>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</si>
  <si>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</si>
  <si>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</si>
  <si>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</si>
  <si>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</si>
  <si>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</si>
  <si>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</si>
  <si>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</si>
  <si>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</si>
  <si>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</si>
  <si>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</si>
  <si>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</si>
  <si>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</si>
  <si>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</si>
  <si>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</si>
  <si>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</si>
  <si>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</si>
  <si>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</si>
  <si>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</si>
  <si>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</si>
  <si>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</si>
  <si>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</si>
  <si>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</si>
  <si>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</si>
  <si>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</si>
  <si>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</si>
  <si>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</si>
  <si>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</si>
  <si>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</si>
  <si>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</si>
  <si>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</si>
  <si>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</si>
  <si>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</si>
  <si>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</si>
  <si>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Ratings</t>
  </si>
  <si>
    <t>Check Rating</t>
  </si>
  <si>
    <t>Check Discount</t>
  </si>
  <si>
    <t>Check Prices</t>
  </si>
  <si>
    <t>Calculated Discount</t>
  </si>
  <si>
    <t>Rating Category</t>
  </si>
  <si>
    <t>Discount Category</t>
  </si>
  <si>
    <t>Price Category</t>
  </si>
  <si>
    <t>Old price</t>
  </si>
  <si>
    <t xml:space="preserve">Strong Engagement </t>
  </si>
  <si>
    <t>Weak Engagement</t>
  </si>
  <si>
    <t>High Discount</t>
  </si>
  <si>
    <t>Average Rating</t>
  </si>
  <si>
    <t>High Discount &amp;Low Rating</t>
  </si>
  <si>
    <t>High Discount &amp;Low Engagement</t>
  </si>
  <si>
    <t>Many Reviews &amp;Average Rating</t>
  </si>
  <si>
    <t>Strong Engagement&amp;Excellent Rating</t>
  </si>
  <si>
    <t>Total Products</t>
  </si>
  <si>
    <t>Average Current Price</t>
  </si>
  <si>
    <t>Average Old Price</t>
  </si>
  <si>
    <t>Average Discount</t>
  </si>
  <si>
    <t>Total Reviews</t>
  </si>
  <si>
    <t>Most Expensive Price</t>
  </si>
  <si>
    <t>Least Expensive Price</t>
  </si>
  <si>
    <t>Most Expensive Product</t>
  </si>
  <si>
    <t>Least Expensive Product</t>
  </si>
  <si>
    <t>Yes</t>
  </si>
  <si>
    <t>Pearson Coeff 1</t>
  </si>
  <si>
    <t>Pearson Coeff 2</t>
  </si>
  <si>
    <t>Pearson Coeff 3</t>
  </si>
  <si>
    <t>RANKED TABLES</t>
  </si>
  <si>
    <t>Row Labels</t>
  </si>
  <si>
    <t>Grand Total</t>
  </si>
  <si>
    <t>Average of Ratings</t>
  </si>
  <si>
    <t>Sum of Review</t>
  </si>
  <si>
    <t>Average of Review</t>
  </si>
  <si>
    <t>Average of Discount</t>
  </si>
  <si>
    <t>TOP 10 REVIEWS</t>
  </si>
  <si>
    <t>TOP 10 DISCOUNTS</t>
  </si>
  <si>
    <t>TOP 5 AND BOTTOM 5 RATINGS</t>
  </si>
  <si>
    <t>TOP 10 RATINGS</t>
  </si>
  <si>
    <t>All</t>
  </si>
  <si>
    <t>Average</t>
  </si>
  <si>
    <t>Excellent</t>
  </si>
  <si>
    <t>Poor</t>
  </si>
  <si>
    <t>Count of Product</t>
  </si>
  <si>
    <t>Low Discount</t>
  </si>
  <si>
    <t>Medium Discount</t>
  </si>
  <si>
    <t>High Price</t>
  </si>
  <si>
    <t>Low Price</t>
  </si>
  <si>
    <t>Medium Price</t>
  </si>
  <si>
    <t>Row Count</t>
  </si>
  <si>
    <t>Column ount</t>
  </si>
  <si>
    <t>Blank Product Count</t>
  </si>
  <si>
    <t>Blank Old Price Count</t>
  </si>
  <si>
    <t>Blank Current Price Count</t>
  </si>
  <si>
    <t>Blank Discount Count</t>
  </si>
  <si>
    <t>Blank Reviews Count</t>
  </si>
  <si>
    <t xml:space="preserve">Blank  Ratings Count </t>
  </si>
  <si>
    <t>Negative Reviews Count</t>
  </si>
  <si>
    <t>Ratings Outside 0-5</t>
  </si>
  <si>
    <t>Discount Outside 0%-100%</t>
  </si>
  <si>
    <t>Duplicate Count</t>
  </si>
  <si>
    <t>Data Quality Audit</t>
  </si>
  <si>
    <t>Field Definitions</t>
  </si>
  <si>
    <t>Product=  Items in Jumia Dataset that have been sold</t>
  </si>
  <si>
    <t>Current Price = Prices of products after discount</t>
  </si>
  <si>
    <t>Old Price = Prices of products before discount</t>
  </si>
  <si>
    <t>Discount =Small cut off prices given to products.Usually in percentage</t>
  </si>
  <si>
    <t>Ratings=Evaluation of products usually in a range between 1 to 5</t>
  </si>
  <si>
    <t>Review= Written evaluation of products</t>
  </si>
  <si>
    <t>Ratings less than 3 =Poor Ratings</t>
  </si>
  <si>
    <t>Ratings lying between 3-4= Average Ratings</t>
  </si>
  <si>
    <t>Ratings above 4 = Excellent Ratings</t>
  </si>
  <si>
    <t>Discounts less than 20% =Low Discount</t>
  </si>
  <si>
    <t>Discounts between 20% -40%=Medium Discount</t>
  </si>
  <si>
    <t>Discounts above 40% =High Discount</t>
  </si>
  <si>
    <t>Assumptions&amp;Thresholds</t>
  </si>
  <si>
    <t>Price less than Price_Q1 =Low Price</t>
  </si>
  <si>
    <t>Price less than or Equal to Price_Q3 = Medium Price</t>
  </si>
  <si>
    <t>Price above Q3 = High Price</t>
  </si>
  <si>
    <t>Cleaning Log</t>
  </si>
  <si>
    <t>Issues</t>
  </si>
  <si>
    <t>Decision</t>
  </si>
  <si>
    <t>Reason</t>
  </si>
  <si>
    <t>Exact Duplicates</t>
  </si>
  <si>
    <t>Remove Duplicates</t>
  </si>
  <si>
    <t>They had all their fields with same values</t>
  </si>
  <si>
    <t>Wrong Data Type</t>
  </si>
  <si>
    <t>Rows/Columns Affected</t>
  </si>
  <si>
    <t>Change to right data type</t>
  </si>
  <si>
    <t>Current and old price columns had been formatted to text so we had to change to correct data type that is currency</t>
  </si>
  <si>
    <t>Missing Values</t>
  </si>
  <si>
    <t>55 Missing ratings</t>
  </si>
  <si>
    <t>55 Missing reviews</t>
  </si>
  <si>
    <t>Leave them blank</t>
  </si>
  <si>
    <t xml:space="preserve">3 Rows </t>
  </si>
  <si>
    <t>2 Columns</t>
  </si>
  <si>
    <t>Blank doesn’t necessarily mean zero,it may  be it was never rated or reviewed.</t>
  </si>
  <si>
    <t>Negative Reviews</t>
  </si>
  <si>
    <t>58 rows</t>
  </si>
  <si>
    <t>Convert to Absolutes</t>
  </si>
  <si>
    <t>All reviews were negative so I think it was error from data entry</t>
  </si>
  <si>
    <t xml:space="preserve">Ratings data </t>
  </si>
  <si>
    <t>55 rows</t>
  </si>
  <si>
    <t>Change data to decimal no</t>
  </si>
  <si>
    <t>Ratings are always out of 5,so having them as numbers was better</t>
  </si>
  <si>
    <t>Current Price &gt; Old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</si>
</sst>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Ksh]\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family val="2"/>
      <scheme val="minor"/>
    </font>
    <font>
      <b/>
      <u/>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4" fontId="0" fillId="0" borderId="0" xfId="0" applyNumberFormat="1"/>
    <xf numFmtId="165" fontId="0" fillId="0" borderId="0" xfId="0" applyNumberFormat="1"/>
    <xf numFmtId="10" fontId="0" fillId="0" borderId="0" xfId="0" applyNumberFormat="1"/>
    <xf numFmtId="0" fontId="19" fillId="0" borderId="0" xfId="0" applyFont="1"/>
    <xf numFmtId="0" fontId="0" fillId="0" borderId="0" xfId="0" pivotButton="1"/>
    <xf numFmtId="0" fontId="0" fillId="0" borderId="0" xfId="0" applyAlignment="1">
      <alignment horizontal="left"/>
    </xf>
    <xf numFmtId="0" fontId="0" fillId="33" borderId="0" xfId="0" applyFill="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4" formatCode="0.00%"/>
    </dxf>
    <dxf>
      <numFmt numFmtId="13" formatCode="0%"/>
    </dxf>
    <dxf>
      <numFmt numFmtId="165" formatCode="[$Ksh]\ #,##0.00"/>
    </dxf>
    <dxf>
      <numFmt numFmtId="165" formatCode="[$Ksh]\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betwen Discount And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Data'!$F$1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Data'!$D$2:$D$113</c:f>
              <c:numCache>
                <c:formatCode>0%</c:formatCode>
                <c:ptCount val="5"/>
                <c:pt idx="0">
                  <c:v>0.53</c:v>
                </c:pt>
                <c:pt idx="1">
                  <c:v>0.51</c:v>
                </c:pt>
                <c:pt idx="2">
                  <c:v>0.5</c:v>
                </c:pt>
                <c:pt idx="3">
                  <c:v>0.49</c:v>
                </c:pt>
                <c:pt idx="4">
                  <c:v>0.49</c:v>
                </c:pt>
              </c:numCache>
            </c:numRef>
          </c:xVal>
          <c:yVal>
            <c:numRef>
              <c:f>'Cleaned Data'!$F$2:$F$113</c:f>
              <c:numCache>
                <c:formatCode>General</c:formatCode>
                <c:ptCount val="5"/>
                <c:pt idx="0">
                  <c:v>2</c:v>
                </c:pt>
                <c:pt idx="1">
                  <c:v>2</c:v>
                </c:pt>
                <c:pt idx="2">
                  <c:v>1</c:v>
                </c:pt>
                <c:pt idx="3">
                  <c:v>3</c:v>
                </c:pt>
                <c:pt idx="4">
                  <c:v>1</c:v>
                </c:pt>
              </c:numCache>
            </c:numRef>
          </c:yVal>
          <c:smooth val="0"/>
          <c:extLst>
            <c:ext xmlns:c16="http://schemas.microsoft.com/office/drawing/2014/chart" uri="{C3380CC4-5D6E-409C-BE32-E72D297353CC}">
              <c16:uniqueId val="{00000001-7626-4B44-89FE-231CB0212CC6}"/>
            </c:ext>
          </c:extLst>
        </c:ser>
        <c:dLbls>
          <c:showLegendKey val="0"/>
          <c:showVal val="0"/>
          <c:showCatName val="0"/>
          <c:showSerName val="0"/>
          <c:showPercent val="0"/>
          <c:showBubbleSize val="0"/>
        </c:dLbls>
        <c:axId val="198751248"/>
        <c:axId val="193222000"/>
      </c:scatterChart>
      <c:valAx>
        <c:axId val="198751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2000"/>
        <c:crosses val="autoZero"/>
        <c:crossBetween val="midCat"/>
      </c:valAx>
      <c:valAx>
        <c:axId val="19322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5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Price And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Data'!$G$1</c:f>
              <c:strCache>
                <c:ptCount val="1"/>
                <c:pt idx="0">
                  <c:v>Ratings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Data'!$B$2:$B$113</c:f>
              <c:numCache>
                <c:formatCode>[$Ksh]\ #,##0.00</c:formatCode>
                <c:ptCount val="5"/>
                <c:pt idx="0">
                  <c:v>171</c:v>
                </c:pt>
                <c:pt idx="1">
                  <c:v>332</c:v>
                </c:pt>
                <c:pt idx="2">
                  <c:v>450</c:v>
                </c:pt>
                <c:pt idx="3">
                  <c:v>2025</c:v>
                </c:pt>
                <c:pt idx="4">
                  <c:v>979</c:v>
                </c:pt>
              </c:numCache>
            </c:numRef>
          </c:xVal>
          <c:yVal>
            <c:numRef>
              <c:f>'Cleaned Data'!$G$2:$G$113</c:f>
              <c:numCache>
                <c:formatCode>0.0</c:formatCode>
                <c:ptCount val="5"/>
                <c:pt idx="0">
                  <c:v>5</c:v>
                </c:pt>
                <c:pt idx="1">
                  <c:v>5</c:v>
                </c:pt>
                <c:pt idx="2">
                  <c:v>2</c:v>
                </c:pt>
                <c:pt idx="3">
                  <c:v>5</c:v>
                </c:pt>
                <c:pt idx="4">
                  <c:v>5</c:v>
                </c:pt>
              </c:numCache>
            </c:numRef>
          </c:yVal>
          <c:smooth val="0"/>
          <c:extLst>
            <c:ext xmlns:c16="http://schemas.microsoft.com/office/drawing/2014/chart" uri="{C3380CC4-5D6E-409C-BE32-E72D297353CC}">
              <c16:uniqueId val="{00000001-CC04-46BE-B2FD-891BB5075AE5}"/>
            </c:ext>
          </c:extLst>
        </c:ser>
        <c:dLbls>
          <c:showLegendKey val="0"/>
          <c:showVal val="0"/>
          <c:showCatName val="0"/>
          <c:showSerName val="0"/>
          <c:showPercent val="0"/>
          <c:showBubbleSize val="0"/>
        </c:dLbls>
        <c:axId val="222784496"/>
        <c:axId val="193339120"/>
      </c:scatterChart>
      <c:valAx>
        <c:axId val="222784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9120"/>
        <c:crosses val="autoZero"/>
        <c:crossBetween val="midCat"/>
      </c:valAx>
      <c:valAx>
        <c:axId val="193339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784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Between Ratings And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801827097194234E-2"/>
          <c:y val="0.12980096085231502"/>
          <c:w val="0.91595011088730183"/>
          <c:h val="0.71733207644819041"/>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Data'!$G$2:$G$113</c:f>
              <c:numCache>
                <c:formatCode>0.0</c:formatCode>
                <c:ptCount val="5"/>
                <c:pt idx="0">
                  <c:v>5</c:v>
                </c:pt>
                <c:pt idx="1">
                  <c:v>5</c:v>
                </c:pt>
                <c:pt idx="2">
                  <c:v>2</c:v>
                </c:pt>
                <c:pt idx="3">
                  <c:v>5</c:v>
                </c:pt>
                <c:pt idx="4">
                  <c:v>5</c:v>
                </c:pt>
              </c:numCache>
            </c:numRef>
          </c:xVal>
          <c:yVal>
            <c:numRef>
              <c:f>'Cleaned Data'!$F$2:$F$113</c:f>
              <c:numCache>
                <c:formatCode>General</c:formatCode>
                <c:ptCount val="5"/>
                <c:pt idx="0">
                  <c:v>2</c:v>
                </c:pt>
                <c:pt idx="1">
                  <c:v>2</c:v>
                </c:pt>
                <c:pt idx="2">
                  <c:v>1</c:v>
                </c:pt>
                <c:pt idx="3">
                  <c:v>3</c:v>
                </c:pt>
                <c:pt idx="4">
                  <c:v>1</c:v>
                </c:pt>
              </c:numCache>
            </c:numRef>
          </c:yVal>
          <c:smooth val="0"/>
          <c:extLst>
            <c:ext xmlns:c16="http://schemas.microsoft.com/office/drawing/2014/chart" uri="{C3380CC4-5D6E-409C-BE32-E72D297353CC}">
              <c16:uniqueId val="{00000000-3873-4DE4-B4E6-F8940A388545}"/>
            </c:ext>
          </c:extLst>
        </c:ser>
        <c:dLbls>
          <c:showLegendKey val="0"/>
          <c:showVal val="0"/>
          <c:showCatName val="0"/>
          <c:showSerName val="0"/>
          <c:showPercent val="0"/>
          <c:showBubbleSize val="0"/>
        </c:dLbls>
        <c:axId val="1865249407"/>
        <c:axId val="1826462671"/>
      </c:scatterChart>
      <c:valAx>
        <c:axId val="1865249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62671"/>
        <c:crosses val="autoZero"/>
        <c:crossBetween val="midCat"/>
      </c:valAx>
      <c:valAx>
        <c:axId val="182646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49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Tables!Discount Mix</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Tables'!$A$13:$A$16</c:f>
              <c:strCache>
                <c:ptCount val="3"/>
                <c:pt idx="0">
                  <c:v>High Discount</c:v>
                </c:pt>
                <c:pt idx="1">
                  <c:v>Low Discount</c:v>
                </c:pt>
                <c:pt idx="2">
                  <c:v>Medium Discount</c:v>
                </c:pt>
              </c:strCache>
            </c:strRef>
          </c:cat>
          <c:val>
            <c:numRef>
              <c:f>'Pivot Tables'!$B$13:$B$16</c:f>
              <c:numCache>
                <c:formatCode>General</c:formatCode>
                <c:ptCount val="3"/>
                <c:pt idx="0">
                  <c:v>30</c:v>
                </c:pt>
                <c:pt idx="1">
                  <c:v>4</c:v>
                </c:pt>
                <c:pt idx="2">
                  <c:v>23</c:v>
                </c:pt>
              </c:numCache>
            </c:numRef>
          </c:val>
          <c:extLst>
            <c:ext xmlns:c16="http://schemas.microsoft.com/office/drawing/2014/chart" uri="{C3380CC4-5D6E-409C-BE32-E72D297353CC}">
              <c16:uniqueId val="{00000000-8F1E-41A3-93D0-EE309F7AD529}"/>
            </c:ext>
          </c:extLst>
        </c:ser>
        <c:dLbls>
          <c:showLegendKey val="0"/>
          <c:showVal val="0"/>
          <c:showCatName val="0"/>
          <c:showSerName val="0"/>
          <c:showPercent val="0"/>
          <c:showBubbleSize val="0"/>
        </c:dLbls>
        <c:gapWidth val="219"/>
        <c:overlap val="-27"/>
        <c:axId val="1637744336"/>
        <c:axId val="1743656720"/>
      </c:barChart>
      <c:catAx>
        <c:axId val="163774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56720"/>
        <c:crosses val="autoZero"/>
        <c:auto val="1"/>
        <c:lblAlgn val="ctr"/>
        <c:lblOffset val="100"/>
        <c:noMultiLvlLbl val="0"/>
      </c:catAx>
      <c:valAx>
        <c:axId val="174365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4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Tables!Price Vs 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Tables'!$A$25:$A$28</c:f>
              <c:strCache>
                <c:ptCount val="3"/>
                <c:pt idx="0">
                  <c:v>High Price</c:v>
                </c:pt>
                <c:pt idx="1">
                  <c:v>Low Price</c:v>
                </c:pt>
                <c:pt idx="2">
                  <c:v>Medium Price</c:v>
                </c:pt>
              </c:strCache>
            </c:strRef>
          </c:cat>
          <c:val>
            <c:numRef>
              <c:f>'Pivot Tables'!$B$25:$B$28</c:f>
              <c:numCache>
                <c:formatCode>General</c:formatCode>
                <c:ptCount val="3"/>
                <c:pt idx="0">
                  <c:v>4.0842105263157888</c:v>
                </c:pt>
                <c:pt idx="1">
                  <c:v>3.6357142857142861</c:v>
                </c:pt>
                <c:pt idx="2">
                  <c:v>3.8833333333333342</c:v>
                </c:pt>
              </c:numCache>
            </c:numRef>
          </c:val>
          <c:extLst>
            <c:ext xmlns:c16="http://schemas.microsoft.com/office/drawing/2014/chart" uri="{C3380CC4-5D6E-409C-BE32-E72D297353CC}">
              <c16:uniqueId val="{00000000-0815-4FF1-9C68-B1239E9D1F10}"/>
            </c:ext>
          </c:extLst>
        </c:ser>
        <c:dLbls>
          <c:showLegendKey val="0"/>
          <c:showVal val="0"/>
          <c:showCatName val="0"/>
          <c:showSerName val="0"/>
          <c:showPercent val="0"/>
          <c:showBubbleSize val="0"/>
        </c:dLbls>
        <c:gapWidth val="219"/>
        <c:overlap val="-27"/>
        <c:axId val="1743187840"/>
        <c:axId val="1743694160"/>
      </c:barChart>
      <c:catAx>
        <c:axId val="174318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94160"/>
        <c:crosses val="autoZero"/>
        <c:auto val="1"/>
        <c:lblAlgn val="ctr"/>
        <c:lblOffset val="100"/>
        <c:noMultiLvlLbl val="0"/>
      </c:catAx>
      <c:valAx>
        <c:axId val="174369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8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Tables'!$B$41</c:f>
              <c:strCache>
                <c:ptCount val="1"/>
                <c:pt idx="0">
                  <c:v>Total</c:v>
                </c:pt>
              </c:strCache>
            </c:strRef>
          </c:tx>
          <c:spPr>
            <a:solidFill>
              <a:schemeClr val="accent1"/>
            </a:solidFill>
            <a:ln>
              <a:noFill/>
            </a:ln>
            <a:effectLst/>
          </c:spPr>
          <c:invertIfNegative val="0"/>
          <c:cat>
            <c:strRef>
              <c:f>'Pivot Tables'!$A$42:$A$45</c:f>
              <c:strCache>
                <c:ptCount val="3"/>
                <c:pt idx="0">
                  <c:v>High Discount</c:v>
                </c:pt>
                <c:pt idx="1">
                  <c:v>Low Discount</c:v>
                </c:pt>
                <c:pt idx="2">
                  <c:v>Medium Discount</c:v>
                </c:pt>
              </c:strCache>
            </c:strRef>
          </c:cat>
          <c:val>
            <c:numRef>
              <c:f>'Pivot Tables'!$B$42:$B$45</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2-75FA-49F0-8508-1856C98E9CBB}"/>
            </c:ext>
          </c:extLst>
        </c:ser>
        <c:dLbls>
          <c:showLegendKey val="0"/>
          <c:showVal val="0"/>
          <c:showCatName val="0"/>
          <c:showSerName val="0"/>
          <c:showPercent val="0"/>
          <c:showBubbleSize val="0"/>
        </c:dLbls>
        <c:gapWidth val="219"/>
        <c:overlap val="-27"/>
        <c:axId val="1830758000"/>
        <c:axId val="1743669200"/>
      </c:barChart>
      <c:catAx>
        <c:axId val="183075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69200"/>
        <c:crosses val="autoZero"/>
        <c:auto val="1"/>
        <c:lblAlgn val="ctr"/>
        <c:lblOffset val="100"/>
        <c:noMultiLvlLbl val="0"/>
      </c:catAx>
      <c:valAx>
        <c:axId val="174366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75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Tables!Rating Mix</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Category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3-44C2-BAD9-EEFD33D0B8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3-44C2-BAD9-EEFD33D0B8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23-44C2-BAD9-EEFD33D0B8A8}"/>
              </c:ext>
            </c:extLst>
          </c:dPt>
          <c:cat>
            <c:strRef>
              <c:f>'Pivot Tables'!$A$2:$A$5</c:f>
              <c:strCache>
                <c:ptCount val="3"/>
                <c:pt idx="0">
                  <c:v>Average</c:v>
                </c:pt>
                <c:pt idx="1">
                  <c:v>Excellent</c:v>
                </c:pt>
                <c:pt idx="2">
                  <c:v>Poor</c:v>
                </c:pt>
              </c:strCache>
            </c:strRef>
          </c:cat>
          <c:val>
            <c:numRef>
              <c:f>'Pivot Tables'!$B$2:$B$5</c:f>
              <c:numCache>
                <c:formatCode>General</c:formatCode>
                <c:ptCount val="3"/>
                <c:pt idx="0">
                  <c:v>22</c:v>
                </c:pt>
                <c:pt idx="1">
                  <c:v>23</c:v>
                </c:pt>
                <c:pt idx="2">
                  <c:v>12</c:v>
                </c:pt>
              </c:numCache>
            </c:numRef>
          </c:val>
          <c:extLst>
            <c:ext xmlns:c16="http://schemas.microsoft.com/office/drawing/2014/chart" uri="{C3380CC4-5D6E-409C-BE32-E72D297353CC}">
              <c16:uniqueId val="{00000000-8CD4-469F-93FF-6F8A71CC90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Tables!Top10ProdByRati</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Products By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Tables'!$L$3:$L$13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60C-4392-8AF4-14D2053353BD}"/>
            </c:ext>
          </c:extLst>
        </c:ser>
        <c:dLbls>
          <c:showLegendKey val="0"/>
          <c:showVal val="0"/>
          <c:showCatName val="0"/>
          <c:showSerName val="0"/>
          <c:showPercent val="0"/>
          <c:showBubbleSize val="0"/>
        </c:dLbls>
        <c:gapWidth val="182"/>
        <c:axId val="1742725456"/>
        <c:axId val="1743660080"/>
      </c:barChart>
      <c:catAx>
        <c:axId val="174272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60080"/>
        <c:crosses val="autoZero"/>
        <c:auto val="1"/>
        <c:lblAlgn val="ctr"/>
        <c:lblOffset val="100"/>
        <c:noMultiLvlLbl val="0"/>
      </c:catAx>
      <c:valAx>
        <c:axId val="174366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72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Tables!Top10ProdByReview</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Tables'!$L$18</c:f>
              <c:strCache>
                <c:ptCount val="1"/>
                <c:pt idx="0">
                  <c:v>Total</c:v>
                </c:pt>
              </c:strCache>
            </c:strRef>
          </c:tx>
          <c:spPr>
            <a:solidFill>
              <a:schemeClr val="accent1"/>
            </a:solidFill>
            <a:ln>
              <a:noFill/>
            </a:ln>
            <a:effectLst/>
          </c:spPr>
          <c:invertIfNegative val="0"/>
          <c:cat>
            <c:strRef>
              <c:f>'Pivot Tables'!$K$19:$K$29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Tables'!$L$19:$L$29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517C-4036-BC4C-C6A11BA4752B}"/>
            </c:ext>
          </c:extLst>
        </c:ser>
        <c:dLbls>
          <c:showLegendKey val="0"/>
          <c:showVal val="0"/>
          <c:showCatName val="0"/>
          <c:showSerName val="0"/>
          <c:showPercent val="0"/>
          <c:showBubbleSize val="0"/>
        </c:dLbls>
        <c:gapWidth val="182"/>
        <c:axId val="1836576192"/>
        <c:axId val="1743688400"/>
      </c:barChart>
      <c:catAx>
        <c:axId val="183657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8400"/>
        <c:crosses val="autoZero"/>
        <c:auto val="1"/>
        <c:lblAlgn val="ctr"/>
        <c:lblOffset val="100"/>
        <c:noMultiLvlLbl val="0"/>
      </c:catAx>
      <c:valAx>
        <c:axId val="1743688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Tables!Top10ProdByDiscount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Tables'!$L$33</c:f>
              <c:strCache>
                <c:ptCount val="1"/>
                <c:pt idx="0">
                  <c:v>Total</c:v>
                </c:pt>
              </c:strCache>
            </c:strRef>
          </c:tx>
          <c:spPr>
            <a:solidFill>
              <a:schemeClr val="accent1"/>
            </a:solidFill>
            <a:ln>
              <a:noFill/>
            </a:ln>
            <a:effectLst/>
          </c:spPr>
          <c:invertIfNegative val="0"/>
          <c:cat>
            <c:strRef>
              <c:f>'Pivot Tables'!$K$34:$K$45</c:f>
              <c:strCache>
                <c:ptCount val="11"/>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Intelligent  LED Body Sensor Wireless Lighting Night Light USB</c:v>
                </c:pt>
                <c:pt idx="7">
                  <c:v>Exfoliate And Exfoliate Face Towel - Black</c:v>
                </c:pt>
                <c:pt idx="8">
                  <c:v>Anti-Skid Absorbent Insulation Coaster  For Home Office</c:v>
                </c:pt>
                <c:pt idx="9">
                  <c:v>Wall-mounted Sticker Punch-free Plug Fixer</c:v>
                </c:pt>
                <c:pt idx="10">
                  <c:v>380ML USB Rechargeable Portable Small Blenders And Juicers</c:v>
                </c:pt>
              </c:strCache>
            </c:strRef>
          </c:cat>
          <c:val>
            <c:numRef>
              <c:f>'Pivot Tables'!$L$34:$L$45</c:f>
              <c:numCache>
                <c:formatCode>0%</c:formatCode>
                <c:ptCount val="11"/>
                <c:pt idx="0">
                  <c:v>0.55000000000000004</c:v>
                </c:pt>
                <c:pt idx="1">
                  <c:v>0.55000000000000004</c:v>
                </c:pt>
                <c:pt idx="2">
                  <c:v>0.54</c:v>
                </c:pt>
                <c:pt idx="3">
                  <c:v>0.54</c:v>
                </c:pt>
                <c:pt idx="4">
                  <c:v>0.53</c:v>
                </c:pt>
                <c:pt idx="5">
                  <c:v>0.53</c:v>
                </c:pt>
                <c:pt idx="6">
                  <c:v>0.52</c:v>
                </c:pt>
                <c:pt idx="7">
                  <c:v>0.52</c:v>
                </c:pt>
                <c:pt idx="8">
                  <c:v>0.51</c:v>
                </c:pt>
                <c:pt idx="9">
                  <c:v>0.5</c:v>
                </c:pt>
                <c:pt idx="10">
                  <c:v>0.5</c:v>
                </c:pt>
              </c:numCache>
            </c:numRef>
          </c:val>
          <c:extLst>
            <c:ext xmlns:c16="http://schemas.microsoft.com/office/drawing/2014/chart" uri="{C3380CC4-5D6E-409C-BE32-E72D297353CC}">
              <c16:uniqueId val="{00000000-17F0-40CA-8708-A596353A47CD}"/>
            </c:ext>
          </c:extLst>
        </c:ser>
        <c:dLbls>
          <c:showLegendKey val="0"/>
          <c:showVal val="0"/>
          <c:showCatName val="0"/>
          <c:showSerName val="0"/>
          <c:showPercent val="0"/>
          <c:showBubbleSize val="0"/>
        </c:dLbls>
        <c:gapWidth val="182"/>
        <c:axId val="1835897024"/>
        <c:axId val="1743684560"/>
      </c:barChart>
      <c:catAx>
        <c:axId val="18358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4560"/>
        <c:crosses val="autoZero"/>
        <c:auto val="1"/>
        <c:lblAlgn val="ctr"/>
        <c:lblOffset val="100"/>
        <c:noMultiLvlLbl val="0"/>
      </c:catAx>
      <c:valAx>
        <c:axId val="174368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Tables!Ratings vs Review</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Tables'!$B$54</c:f>
              <c:strCache>
                <c:ptCount val="1"/>
                <c:pt idx="0">
                  <c:v>Total</c:v>
                </c:pt>
              </c:strCache>
            </c:strRef>
          </c:tx>
          <c:spPr>
            <a:solidFill>
              <a:schemeClr val="accent1"/>
            </a:solidFill>
            <a:ln>
              <a:noFill/>
            </a:ln>
            <a:effectLst/>
          </c:spPr>
          <c:invertIfNegative val="0"/>
          <c:cat>
            <c:strRef>
              <c:f>'Pivot Tables'!$A$55:$A$58</c:f>
              <c:strCache>
                <c:ptCount val="3"/>
                <c:pt idx="0">
                  <c:v>Average</c:v>
                </c:pt>
                <c:pt idx="1">
                  <c:v>Excellent</c:v>
                </c:pt>
                <c:pt idx="2">
                  <c:v>Poor</c:v>
                </c:pt>
              </c:strCache>
            </c:strRef>
          </c:cat>
          <c:val>
            <c:numRef>
              <c:f>'Pivot Tables'!$B$55:$B$58</c:f>
              <c:numCache>
                <c:formatCode>General</c:formatCode>
                <c:ptCount val="3"/>
                <c:pt idx="0">
                  <c:v>10.136363636363637</c:v>
                </c:pt>
                <c:pt idx="1">
                  <c:v>14.391304347826088</c:v>
                </c:pt>
                <c:pt idx="2">
                  <c:v>14.083333333333334</c:v>
                </c:pt>
              </c:numCache>
            </c:numRef>
          </c:val>
          <c:extLst>
            <c:ext xmlns:c16="http://schemas.microsoft.com/office/drawing/2014/chart" uri="{C3380CC4-5D6E-409C-BE32-E72D297353CC}">
              <c16:uniqueId val="{00000000-CB7A-4318-8E72-85DCEC65004F}"/>
            </c:ext>
          </c:extLst>
        </c:ser>
        <c:dLbls>
          <c:showLegendKey val="0"/>
          <c:showVal val="0"/>
          <c:showCatName val="0"/>
          <c:showSerName val="0"/>
          <c:showPercent val="0"/>
          <c:showBubbleSize val="0"/>
        </c:dLbls>
        <c:gapWidth val="219"/>
        <c:overlap val="-27"/>
        <c:axId val="1874213376"/>
        <c:axId val="1743700400"/>
      </c:barChart>
      <c:catAx>
        <c:axId val="187421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00400"/>
        <c:crosses val="autoZero"/>
        <c:auto val="1"/>
        <c:lblAlgn val="ctr"/>
        <c:lblOffset val="100"/>
        <c:noMultiLvlLbl val="0"/>
      </c:catAx>
      <c:valAx>
        <c:axId val="1743700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[Jumia_Product_Dashboard.xlsx]Pivot Tables!Rating Mix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Category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tint val="65000"/>
            </a:schemeClr>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A31-4BB3-8C5E-E7D89619C4A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A31-4BB3-8C5E-E7D89619C4A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A31-4BB3-8C5E-E7D89619C4AF}"/>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7-9A31-4BB3-8C5E-E7D89619C4AF}"/>
              </c:ext>
            </c:extLst>
          </c:dPt>
          <c:cat>
            <c:strRef>
              <c:f>'Pivot Tables'!$A$2:$A$5</c:f>
              <c:strCache>
                <c:ptCount val="3"/>
                <c:pt idx="0">
                  <c:v>Average</c:v>
                </c:pt>
                <c:pt idx="1">
                  <c:v>Excellent</c:v>
                </c:pt>
                <c:pt idx="2">
                  <c:v>Poor</c:v>
                </c:pt>
              </c:strCache>
            </c:strRef>
          </c:cat>
          <c:val>
            <c:numRef>
              <c:f>'Pivot Tables'!$B$2:$B$5</c:f>
              <c:numCache>
                <c:formatCode>General</c:formatCode>
                <c:ptCount val="3"/>
                <c:pt idx="0">
                  <c:v>22</c:v>
                </c:pt>
                <c:pt idx="1">
                  <c:v>23</c:v>
                </c:pt>
                <c:pt idx="2">
                  <c:v>12</c:v>
                </c:pt>
              </c:numCache>
            </c:numRef>
          </c:val>
          <c:extLst>
            <c:ext xmlns:c16="http://schemas.microsoft.com/office/drawing/2014/chart" uri="{C3380CC4-5D6E-409C-BE32-E72D297353CC}">
              <c16:uniqueId val="{00000008-9A31-4BB3-8C5E-E7D89619C4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Tables!Discount Mix</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Tables'!$A$13:$A$16</c:f>
              <c:strCache>
                <c:ptCount val="3"/>
                <c:pt idx="0">
                  <c:v>High Discount</c:v>
                </c:pt>
                <c:pt idx="1">
                  <c:v>Low Discount</c:v>
                </c:pt>
                <c:pt idx="2">
                  <c:v>Medium Discount</c:v>
                </c:pt>
              </c:strCache>
            </c:strRef>
          </c:cat>
          <c:val>
            <c:numRef>
              <c:f>'Pivot Tables'!$B$13:$B$16</c:f>
              <c:numCache>
                <c:formatCode>General</c:formatCode>
                <c:ptCount val="3"/>
                <c:pt idx="0">
                  <c:v>30</c:v>
                </c:pt>
                <c:pt idx="1">
                  <c:v>4</c:v>
                </c:pt>
                <c:pt idx="2">
                  <c:v>23</c:v>
                </c:pt>
              </c:numCache>
            </c:numRef>
          </c:val>
          <c:extLst>
            <c:ext xmlns:c16="http://schemas.microsoft.com/office/drawing/2014/chart" uri="{C3380CC4-5D6E-409C-BE32-E72D297353CC}">
              <c16:uniqueId val="{00000000-BE0F-4132-B596-3FCE845D5141}"/>
            </c:ext>
          </c:extLst>
        </c:ser>
        <c:dLbls>
          <c:showLegendKey val="0"/>
          <c:showVal val="0"/>
          <c:showCatName val="0"/>
          <c:showSerName val="0"/>
          <c:showPercent val="0"/>
          <c:showBubbleSize val="0"/>
        </c:dLbls>
        <c:gapWidth val="219"/>
        <c:overlap val="-27"/>
        <c:axId val="1637744336"/>
        <c:axId val="1743656720"/>
      </c:barChart>
      <c:catAx>
        <c:axId val="163774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layout>
            <c:manualLayout>
              <c:xMode val="edge"/>
              <c:yMode val="edge"/>
              <c:x val="1.0236683113988528E-3"/>
              <c:y val="0.929660871598970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56720"/>
        <c:crosses val="autoZero"/>
        <c:auto val="1"/>
        <c:lblAlgn val="ctr"/>
        <c:lblOffset val="100"/>
        <c:noMultiLvlLbl val="0"/>
      </c:catAx>
      <c:valAx>
        <c:axId val="174365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4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Tables!Price Vs Rating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Tables'!$A$25:$A$28</c:f>
              <c:strCache>
                <c:ptCount val="3"/>
                <c:pt idx="0">
                  <c:v>High Price</c:v>
                </c:pt>
                <c:pt idx="1">
                  <c:v>Low Price</c:v>
                </c:pt>
                <c:pt idx="2">
                  <c:v>Medium Price</c:v>
                </c:pt>
              </c:strCache>
            </c:strRef>
          </c:cat>
          <c:val>
            <c:numRef>
              <c:f>'Pivot Tables'!$B$25:$B$28</c:f>
              <c:numCache>
                <c:formatCode>General</c:formatCode>
                <c:ptCount val="3"/>
                <c:pt idx="0">
                  <c:v>4.0842105263157888</c:v>
                </c:pt>
                <c:pt idx="1">
                  <c:v>3.6357142857142861</c:v>
                </c:pt>
                <c:pt idx="2">
                  <c:v>3.8833333333333342</c:v>
                </c:pt>
              </c:numCache>
            </c:numRef>
          </c:val>
          <c:extLst>
            <c:ext xmlns:c16="http://schemas.microsoft.com/office/drawing/2014/chart" uri="{C3380CC4-5D6E-409C-BE32-E72D297353CC}">
              <c16:uniqueId val="{00000000-353A-4734-9A0C-5C775E09AD4A}"/>
            </c:ext>
          </c:extLst>
        </c:ser>
        <c:dLbls>
          <c:showLegendKey val="0"/>
          <c:showVal val="0"/>
          <c:showCatName val="0"/>
          <c:showSerName val="0"/>
          <c:showPercent val="0"/>
          <c:showBubbleSize val="0"/>
        </c:dLbls>
        <c:gapWidth val="219"/>
        <c:overlap val="-27"/>
        <c:axId val="1743187840"/>
        <c:axId val="1743694160"/>
      </c:barChart>
      <c:catAx>
        <c:axId val="174318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94160"/>
        <c:crosses val="autoZero"/>
        <c:auto val="1"/>
        <c:lblAlgn val="ctr"/>
        <c:lblOffset val="100"/>
        <c:noMultiLvlLbl val="0"/>
      </c:catAx>
      <c:valAx>
        <c:axId val="174369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8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Tables!Top10ProdByRati</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Products By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Tables'!$L$3:$L$13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20DD-4F6F-BF0D-6D87B0771DDF}"/>
            </c:ext>
          </c:extLst>
        </c:ser>
        <c:dLbls>
          <c:showLegendKey val="0"/>
          <c:showVal val="0"/>
          <c:showCatName val="0"/>
          <c:showSerName val="0"/>
          <c:showPercent val="0"/>
          <c:showBubbleSize val="0"/>
        </c:dLbls>
        <c:gapWidth val="182"/>
        <c:axId val="1742725456"/>
        <c:axId val="1743660080"/>
      </c:barChart>
      <c:catAx>
        <c:axId val="1742725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60080"/>
        <c:crosses val="autoZero"/>
        <c:auto val="1"/>
        <c:lblAlgn val="ctr"/>
        <c:lblOffset val="100"/>
        <c:noMultiLvlLbl val="0"/>
      </c:catAx>
      <c:valAx>
        <c:axId val="174366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72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Tables!Top10ProdByReview</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Tables'!$L$18</c:f>
              <c:strCache>
                <c:ptCount val="1"/>
                <c:pt idx="0">
                  <c:v>Total</c:v>
                </c:pt>
              </c:strCache>
            </c:strRef>
          </c:tx>
          <c:spPr>
            <a:solidFill>
              <a:schemeClr val="accent1"/>
            </a:solidFill>
            <a:ln>
              <a:noFill/>
            </a:ln>
            <a:effectLst/>
          </c:spPr>
          <c:invertIfNegative val="0"/>
          <c:cat>
            <c:strRef>
              <c:f>'Pivot Tables'!$K$19:$K$29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Tables'!$L$19:$L$29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0330-417F-BB3E-05E0737581B3}"/>
            </c:ext>
          </c:extLst>
        </c:ser>
        <c:dLbls>
          <c:showLegendKey val="0"/>
          <c:showVal val="0"/>
          <c:showCatName val="0"/>
          <c:showSerName val="0"/>
          <c:showPercent val="0"/>
          <c:showBubbleSize val="0"/>
        </c:dLbls>
        <c:gapWidth val="182"/>
        <c:axId val="1836576192"/>
        <c:axId val="1743688400"/>
      </c:barChart>
      <c:catAx>
        <c:axId val="1836576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8400"/>
        <c:crosses val="autoZero"/>
        <c:auto val="1"/>
        <c:lblAlgn val="ctr"/>
        <c:lblOffset val="100"/>
        <c:noMultiLvlLbl val="0"/>
      </c:catAx>
      <c:valAx>
        <c:axId val="1743688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Tables!Top10ProdByDiscount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Tables'!$L$33</c:f>
              <c:strCache>
                <c:ptCount val="1"/>
                <c:pt idx="0">
                  <c:v>Total</c:v>
                </c:pt>
              </c:strCache>
            </c:strRef>
          </c:tx>
          <c:spPr>
            <a:solidFill>
              <a:schemeClr val="accent1"/>
            </a:solidFill>
            <a:ln>
              <a:noFill/>
            </a:ln>
            <a:effectLst/>
          </c:spPr>
          <c:invertIfNegative val="0"/>
          <c:cat>
            <c:strRef>
              <c:f>'Pivot Tables'!$K$34:$K$45</c:f>
              <c:strCache>
                <c:ptCount val="11"/>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Intelligent  LED Body Sensor Wireless Lighting Night Light USB</c:v>
                </c:pt>
                <c:pt idx="7">
                  <c:v>Exfoliate And Exfoliate Face Towel - Black</c:v>
                </c:pt>
                <c:pt idx="8">
                  <c:v>Anti-Skid Absorbent Insulation Coaster  For Home Office</c:v>
                </c:pt>
                <c:pt idx="9">
                  <c:v>Wall-mounted Sticker Punch-free Plug Fixer</c:v>
                </c:pt>
                <c:pt idx="10">
                  <c:v>380ML USB Rechargeable Portable Small Blenders And Juicers</c:v>
                </c:pt>
              </c:strCache>
            </c:strRef>
          </c:cat>
          <c:val>
            <c:numRef>
              <c:f>'Pivot Tables'!$L$34:$L$45</c:f>
              <c:numCache>
                <c:formatCode>0%</c:formatCode>
                <c:ptCount val="11"/>
                <c:pt idx="0">
                  <c:v>0.55000000000000004</c:v>
                </c:pt>
                <c:pt idx="1">
                  <c:v>0.55000000000000004</c:v>
                </c:pt>
                <c:pt idx="2">
                  <c:v>0.54</c:v>
                </c:pt>
                <c:pt idx="3">
                  <c:v>0.54</c:v>
                </c:pt>
                <c:pt idx="4">
                  <c:v>0.53</c:v>
                </c:pt>
                <c:pt idx="5">
                  <c:v>0.53</c:v>
                </c:pt>
                <c:pt idx="6">
                  <c:v>0.52</c:v>
                </c:pt>
                <c:pt idx="7">
                  <c:v>0.52</c:v>
                </c:pt>
                <c:pt idx="8">
                  <c:v>0.51</c:v>
                </c:pt>
                <c:pt idx="9">
                  <c:v>0.5</c:v>
                </c:pt>
                <c:pt idx="10">
                  <c:v>0.5</c:v>
                </c:pt>
              </c:numCache>
            </c:numRef>
          </c:val>
          <c:extLst>
            <c:ext xmlns:c16="http://schemas.microsoft.com/office/drawing/2014/chart" uri="{C3380CC4-5D6E-409C-BE32-E72D297353CC}">
              <c16:uniqueId val="{00000000-387A-4C21-8495-42BC927672DF}"/>
            </c:ext>
          </c:extLst>
        </c:ser>
        <c:dLbls>
          <c:showLegendKey val="0"/>
          <c:showVal val="0"/>
          <c:showCatName val="0"/>
          <c:showSerName val="0"/>
          <c:showPercent val="0"/>
          <c:showBubbleSize val="0"/>
        </c:dLbls>
        <c:gapWidth val="182"/>
        <c:axId val="1835897024"/>
        <c:axId val="1743684560"/>
      </c:barChart>
      <c:catAx>
        <c:axId val="18358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4560"/>
        <c:crosses val="autoZero"/>
        <c:auto val="1"/>
        <c:lblAlgn val="ctr"/>
        <c:lblOffset val="100"/>
        <c:noMultiLvlLbl val="0"/>
      </c:catAx>
      <c:valAx>
        <c:axId val="174368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Tables!Ratings vs Review</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Tables'!$B$54</c:f>
              <c:strCache>
                <c:ptCount val="1"/>
                <c:pt idx="0">
                  <c:v>Total</c:v>
                </c:pt>
              </c:strCache>
            </c:strRef>
          </c:tx>
          <c:spPr>
            <a:solidFill>
              <a:schemeClr val="accent1"/>
            </a:solidFill>
            <a:ln>
              <a:noFill/>
            </a:ln>
            <a:effectLst/>
          </c:spPr>
          <c:invertIfNegative val="0"/>
          <c:cat>
            <c:strRef>
              <c:f>'Pivot Tables'!$A$55:$A$58</c:f>
              <c:strCache>
                <c:ptCount val="3"/>
                <c:pt idx="0">
                  <c:v>Average</c:v>
                </c:pt>
                <c:pt idx="1">
                  <c:v>Excellent</c:v>
                </c:pt>
                <c:pt idx="2">
                  <c:v>Poor</c:v>
                </c:pt>
              </c:strCache>
            </c:strRef>
          </c:cat>
          <c:val>
            <c:numRef>
              <c:f>'Pivot Tables'!$B$55:$B$58</c:f>
              <c:numCache>
                <c:formatCode>General</c:formatCode>
                <c:ptCount val="3"/>
                <c:pt idx="0">
                  <c:v>10.136363636363637</c:v>
                </c:pt>
                <c:pt idx="1">
                  <c:v>14.391304347826088</c:v>
                </c:pt>
                <c:pt idx="2">
                  <c:v>14.083333333333334</c:v>
                </c:pt>
              </c:numCache>
            </c:numRef>
          </c:val>
          <c:extLst>
            <c:ext xmlns:c16="http://schemas.microsoft.com/office/drawing/2014/chart" uri="{C3380CC4-5D6E-409C-BE32-E72D297353CC}">
              <c16:uniqueId val="{00000000-09ED-41B2-B0A8-4DDE965C4ACD}"/>
            </c:ext>
          </c:extLst>
        </c:ser>
        <c:dLbls>
          <c:showLegendKey val="0"/>
          <c:showVal val="0"/>
          <c:showCatName val="0"/>
          <c:showSerName val="0"/>
          <c:showPercent val="0"/>
          <c:showBubbleSize val="0"/>
        </c:dLbls>
        <c:gapWidth val="219"/>
        <c:overlap val="-27"/>
        <c:axId val="1874213376"/>
        <c:axId val="1743700400"/>
      </c:barChart>
      <c:catAx>
        <c:axId val="187421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00400"/>
        <c:crosses val="autoZero"/>
        <c:auto val="1"/>
        <c:lblAlgn val="ctr"/>
        <c:lblOffset val="100"/>
        <c:noMultiLvlLbl val="0"/>
      </c:catAx>
      <c:valAx>
        <c:axId val="1743700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Tables'!$B$41</c:f>
              <c:strCache>
                <c:ptCount val="1"/>
                <c:pt idx="0">
                  <c:v>Total</c:v>
                </c:pt>
              </c:strCache>
            </c:strRef>
          </c:tx>
          <c:spPr>
            <a:solidFill>
              <a:schemeClr val="accent1"/>
            </a:solidFill>
            <a:ln>
              <a:noFill/>
            </a:ln>
            <a:effectLst/>
          </c:spPr>
          <c:invertIfNegative val="0"/>
          <c:cat>
            <c:strRef>
              <c:f>'Pivot Tables'!$A$42:$A$45</c:f>
              <c:strCache>
                <c:ptCount val="3"/>
                <c:pt idx="0">
                  <c:v>High Discount</c:v>
                </c:pt>
                <c:pt idx="1">
                  <c:v>Low Discount</c:v>
                </c:pt>
                <c:pt idx="2">
                  <c:v>Medium Discount</c:v>
                </c:pt>
              </c:strCache>
            </c:strRef>
          </c:cat>
          <c:val>
            <c:numRef>
              <c:f>'Pivot Tables'!$B$42:$B$45</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0-EF1E-49FB-865B-6DF553E241DD}"/>
            </c:ext>
          </c:extLst>
        </c:ser>
        <c:dLbls>
          <c:showLegendKey val="0"/>
          <c:showVal val="0"/>
          <c:showCatName val="0"/>
          <c:showSerName val="0"/>
          <c:showPercent val="0"/>
          <c:showBubbleSize val="0"/>
        </c:dLbls>
        <c:gapWidth val="219"/>
        <c:overlap val="-27"/>
        <c:axId val="1830758000"/>
        <c:axId val="1743669200"/>
      </c:barChart>
      <c:catAx>
        <c:axId val="183075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69200"/>
        <c:crosses val="autoZero"/>
        <c:auto val="1"/>
        <c:lblAlgn val="ctr"/>
        <c:lblOffset val="100"/>
        <c:noMultiLvlLbl val="0"/>
      </c:catAx>
      <c:valAx>
        <c:axId val="174366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75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85725</xdr:colOff>
      <xdr:row>19</xdr:row>
      <xdr:rowOff>180975</xdr:rowOff>
    </xdr:from>
    <xdr:to>
      <xdr:col>6</xdr:col>
      <xdr:colOff>290513</xdr:colOff>
      <xdr:row>35</xdr:row>
      <xdr:rowOff>61913</xdr:rowOff>
    </xdr:to>
    <xdr:graphicFrame macro="">
      <xdr:nvGraphicFramePr>
        <xdr:cNvPr id="3" name="Chart 2">
          <a:extLst>
            <a:ext uri="{FF2B5EF4-FFF2-40B4-BE49-F238E27FC236}">
              <a16:creationId xmlns:a16="http://schemas.microsoft.com/office/drawing/2014/main" id="{2178AD3F-6228-4E2C-81CF-EF11F9CED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64</xdr:row>
      <xdr:rowOff>38099</xdr:rowOff>
    </xdr:from>
    <xdr:to>
      <xdr:col>10</xdr:col>
      <xdr:colOff>71438</xdr:colOff>
      <xdr:row>80</xdr:row>
      <xdr:rowOff>142874</xdr:rowOff>
    </xdr:to>
    <xdr:graphicFrame macro="">
      <xdr:nvGraphicFramePr>
        <xdr:cNvPr id="7" name="Chart 6">
          <a:extLst>
            <a:ext uri="{FF2B5EF4-FFF2-40B4-BE49-F238E27FC236}">
              <a16:creationId xmlns:a16="http://schemas.microsoft.com/office/drawing/2014/main" id="{ACB2F64C-6B4A-4BA5-B949-78CF01EC0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38</xdr:row>
      <xdr:rowOff>28574</xdr:rowOff>
    </xdr:from>
    <xdr:to>
      <xdr:col>7</xdr:col>
      <xdr:colOff>390525</xdr:colOff>
      <xdr:row>54</xdr:row>
      <xdr:rowOff>123825</xdr:rowOff>
    </xdr:to>
    <xdr:graphicFrame macro="">
      <xdr:nvGraphicFramePr>
        <xdr:cNvPr id="4" name="Chart 3">
          <a:extLst>
            <a:ext uri="{FF2B5EF4-FFF2-40B4-BE49-F238E27FC236}">
              <a16:creationId xmlns:a16="http://schemas.microsoft.com/office/drawing/2014/main" id="{A72A626A-2442-4193-AEA9-6D468C1D1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10</xdr:row>
      <xdr:rowOff>57150</xdr:rowOff>
    </xdr:from>
    <xdr:to>
      <xdr:col>9</xdr:col>
      <xdr:colOff>438150</xdr:colOff>
      <xdr:row>21</xdr:row>
      <xdr:rowOff>152400</xdr:rowOff>
    </xdr:to>
    <xdr:graphicFrame macro="">
      <xdr:nvGraphicFramePr>
        <xdr:cNvPr id="3" name="Chart 2">
          <a:extLst>
            <a:ext uri="{FF2B5EF4-FFF2-40B4-BE49-F238E27FC236}">
              <a16:creationId xmlns:a16="http://schemas.microsoft.com/office/drawing/2014/main" id="{CDD4578D-2168-0240-AFFB-95AC5BCBA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22</xdr:row>
      <xdr:rowOff>142875</xdr:rowOff>
    </xdr:from>
    <xdr:to>
      <xdr:col>9</xdr:col>
      <xdr:colOff>409575</xdr:colOff>
      <xdr:row>37</xdr:row>
      <xdr:rowOff>28575</xdr:rowOff>
    </xdr:to>
    <xdr:graphicFrame macro="">
      <xdr:nvGraphicFramePr>
        <xdr:cNvPr id="4" name="Chart 3">
          <a:extLst>
            <a:ext uri="{FF2B5EF4-FFF2-40B4-BE49-F238E27FC236}">
              <a16:creationId xmlns:a16="http://schemas.microsoft.com/office/drawing/2014/main" id="{193158AF-BD94-5213-7DEC-FB2CE0CC8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128587</xdr:colOff>
      <xdr:row>37</xdr:row>
      <xdr:rowOff>161925</xdr:rowOff>
    </xdr:from>
    <xdr:to>
      <xdr:col>9</xdr:col>
      <xdr:colOff>433387</xdr:colOff>
      <xdr:row>52</xdr:row>
      <xdr:rowOff>47625</xdr:rowOff>
    </xdr:to>
    <xdr:graphicFrame macro="">
      <xdr:nvGraphicFramePr>
        <xdr:cNvPr id="5" name="Chart 4">
          <a:extLst>
            <a:ext uri="{FF2B5EF4-FFF2-40B4-BE49-F238E27FC236}">
              <a16:creationId xmlns:a16="http://schemas.microsoft.com/office/drawing/2014/main" id="{1214E004-E7A2-39BC-6ADA-E45466F72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109537</xdr:colOff>
      <xdr:row>0</xdr:row>
      <xdr:rowOff>0</xdr:rowOff>
    </xdr:from>
    <xdr:to>
      <xdr:col>9</xdr:col>
      <xdr:colOff>414337</xdr:colOff>
      <xdr:row>10</xdr:row>
      <xdr:rowOff>133350</xdr:rowOff>
    </xdr:to>
    <xdr:graphicFrame macro="">
      <xdr:nvGraphicFramePr>
        <xdr:cNvPr id="6" name="Chart 5">
          <a:extLst>
            <a:ext uri="{FF2B5EF4-FFF2-40B4-BE49-F238E27FC236}">
              <a16:creationId xmlns:a16="http://schemas.microsoft.com/office/drawing/2014/main" id="{A7D09E8F-C74D-37A5-FB5C-6D7BCD9C7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157162</xdr:colOff>
      <xdr:row>0</xdr:row>
      <xdr:rowOff>66674</xdr:rowOff>
    </xdr:from>
    <xdr:to>
      <xdr:col>21</xdr:col>
      <xdr:colOff>438150</xdr:colOff>
      <xdr:row>15</xdr:row>
      <xdr:rowOff>190499</xdr:rowOff>
    </xdr:to>
    <xdr:graphicFrame macro="">
      <xdr:nvGraphicFramePr>
        <xdr:cNvPr id="7" name="Chart 6">
          <a:extLst>
            <a:ext uri="{FF2B5EF4-FFF2-40B4-BE49-F238E27FC236}">
              <a16:creationId xmlns:a16="http://schemas.microsoft.com/office/drawing/2014/main" id="{9DB02B9D-03A0-991A-9379-7C9D058FE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242886</xdr:colOff>
      <xdr:row>16</xdr:row>
      <xdr:rowOff>80962</xdr:rowOff>
    </xdr:from>
    <xdr:to>
      <xdr:col>21</xdr:col>
      <xdr:colOff>438149</xdr:colOff>
      <xdr:row>30</xdr:row>
      <xdr:rowOff>157162</xdr:rowOff>
    </xdr:to>
    <xdr:graphicFrame macro="">
      <xdr:nvGraphicFramePr>
        <xdr:cNvPr id="8" name="Chart 7">
          <a:extLst>
            <a:ext uri="{FF2B5EF4-FFF2-40B4-BE49-F238E27FC236}">
              <a16:creationId xmlns:a16="http://schemas.microsoft.com/office/drawing/2014/main" id="{ACBD60BD-A415-F37F-2786-7AFAD252C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214311</xdr:colOff>
      <xdr:row>31</xdr:row>
      <xdr:rowOff>38100</xdr:rowOff>
    </xdr:from>
    <xdr:to>
      <xdr:col>21</xdr:col>
      <xdr:colOff>428624</xdr:colOff>
      <xdr:row>45</xdr:row>
      <xdr:rowOff>114300</xdr:rowOff>
    </xdr:to>
    <xdr:graphicFrame macro="">
      <xdr:nvGraphicFramePr>
        <xdr:cNvPr id="9" name="Chart 8">
          <a:extLst>
            <a:ext uri="{FF2B5EF4-FFF2-40B4-BE49-F238E27FC236}">
              <a16:creationId xmlns:a16="http://schemas.microsoft.com/office/drawing/2014/main" id="{46CA3DB7-184B-ADB7-4B65-37742A6BE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123825</xdr:colOff>
      <xdr:row>52</xdr:row>
      <xdr:rowOff>114300</xdr:rowOff>
    </xdr:from>
    <xdr:to>
      <xdr:col>9</xdr:col>
      <xdr:colOff>428625</xdr:colOff>
      <xdr:row>67</xdr:row>
      <xdr:rowOff>0</xdr:rowOff>
    </xdr:to>
    <xdr:graphicFrame macro="">
      <xdr:nvGraphicFramePr>
        <xdr:cNvPr id="10" name="Chart 9">
          <a:extLst>
            <a:ext uri="{FF2B5EF4-FFF2-40B4-BE49-F238E27FC236}">
              <a16:creationId xmlns:a16="http://schemas.microsoft.com/office/drawing/2014/main" id="{787C2124-24F0-45EF-7287-56F588E1D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0</xdr:row>
      <xdr:rowOff>123825</xdr:rowOff>
    </xdr:from>
    <xdr:to>
      <xdr:col>21</xdr:col>
      <xdr:colOff>66675</xdr:colOff>
      <xdr:row>4</xdr:row>
      <xdr:rowOff>76200</xdr:rowOff>
    </xdr:to>
    <xdr:sp macro="" textlink="">
      <xdr:nvSpPr>
        <xdr:cNvPr id="2" name="Rectangle: Rounded Corners 1">
          <a:extLst>
            <a:ext uri="{FF2B5EF4-FFF2-40B4-BE49-F238E27FC236}">
              <a16:creationId xmlns:a16="http://schemas.microsoft.com/office/drawing/2014/main" id="{ADF211B6-D299-C551-B790-D045B640DE80}"/>
            </a:ext>
          </a:extLst>
        </xdr:cNvPr>
        <xdr:cNvSpPr/>
      </xdr:nvSpPr>
      <xdr:spPr>
        <a:xfrm>
          <a:off x="2286000" y="123825"/>
          <a:ext cx="10582275" cy="71437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tx1"/>
              </a:solidFill>
            </a:rPr>
            <a:t>                                 </a:t>
          </a:r>
          <a:r>
            <a:rPr lang="en-US" sz="3200" b="1" baseline="0">
              <a:solidFill>
                <a:schemeClr val="tx1"/>
              </a:solidFill>
            </a:rPr>
            <a:t>  </a:t>
          </a:r>
          <a:r>
            <a:rPr lang="en-US" sz="3200" b="1">
              <a:solidFill>
                <a:schemeClr val="tx1"/>
              </a:solidFill>
            </a:rPr>
            <a:t>JUMIA PRODUCTS ANALYSIS</a:t>
          </a:r>
        </a:p>
      </xdr:txBody>
    </xdr:sp>
    <xdr:clientData/>
  </xdr:twoCellAnchor>
  <xdr:twoCellAnchor>
    <xdr:from>
      <xdr:col>4</xdr:col>
      <xdr:colOff>9525</xdr:colOff>
      <xdr:row>5</xdr:row>
      <xdr:rowOff>9524</xdr:rowOff>
    </xdr:from>
    <xdr:to>
      <xdr:col>7</xdr:col>
      <xdr:colOff>104775</xdr:colOff>
      <xdr:row>8</xdr:row>
      <xdr:rowOff>57149</xdr:rowOff>
    </xdr:to>
    <xdr:sp macro="" textlink="">
      <xdr:nvSpPr>
        <xdr:cNvPr id="3" name="Rectangle: Rounded Corners 2">
          <a:extLst>
            <a:ext uri="{FF2B5EF4-FFF2-40B4-BE49-F238E27FC236}">
              <a16:creationId xmlns:a16="http://schemas.microsoft.com/office/drawing/2014/main" id="{A608A4D7-D790-653B-AF20-C17137F493F8}"/>
            </a:ext>
          </a:extLst>
        </xdr:cNvPr>
        <xdr:cNvSpPr/>
      </xdr:nvSpPr>
      <xdr:spPr>
        <a:xfrm>
          <a:off x="2447925" y="962024"/>
          <a:ext cx="1924050" cy="61912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Number Of Products</a:t>
          </a:r>
        </a:p>
        <a:p>
          <a:pPr algn="l"/>
          <a:r>
            <a:rPr lang="en-US" sz="1600" b="1" i="0" u="none" strike="noStrike">
              <a:solidFill>
                <a:schemeClr val="tx1"/>
              </a:solidFill>
              <a:effectLst/>
              <a:latin typeface="+mn-lt"/>
              <a:ea typeface="+mn-ea"/>
              <a:cs typeface="+mn-cs"/>
            </a:rPr>
            <a:t>112</a:t>
          </a:r>
          <a:r>
            <a:rPr lang="en-US" sz="1600" b="1">
              <a:solidFill>
                <a:schemeClr val="tx1"/>
              </a:solidFill>
              <a:effectLst/>
            </a:rPr>
            <a:t> </a:t>
          </a:r>
          <a:endParaRPr lang="en-US" sz="1600" b="1" baseline="0">
            <a:solidFill>
              <a:schemeClr val="tx1"/>
            </a:solidFill>
          </a:endParaRPr>
        </a:p>
        <a:p>
          <a:pPr algn="l"/>
          <a:endParaRPr lang="en-US" sz="1200" b="1" baseline="0">
            <a:solidFill>
              <a:schemeClr val="tx1"/>
            </a:solidFill>
          </a:endParaRPr>
        </a:p>
        <a:p>
          <a:pPr algn="l"/>
          <a:endParaRPr lang="en-US" sz="1200" b="1">
            <a:solidFill>
              <a:schemeClr val="tx1"/>
            </a:solidFill>
          </a:endParaRPr>
        </a:p>
      </xdr:txBody>
    </xdr:sp>
    <xdr:clientData/>
  </xdr:twoCellAnchor>
  <xdr:twoCellAnchor>
    <xdr:from>
      <xdr:col>7</xdr:col>
      <xdr:colOff>380999</xdr:colOff>
      <xdr:row>4</xdr:row>
      <xdr:rowOff>180975</xdr:rowOff>
    </xdr:from>
    <xdr:to>
      <xdr:col>10</xdr:col>
      <xdr:colOff>219075</xdr:colOff>
      <xdr:row>8</xdr:row>
      <xdr:rowOff>47625</xdr:rowOff>
    </xdr:to>
    <xdr:sp macro="" textlink="">
      <xdr:nvSpPr>
        <xdr:cNvPr id="4" name="Rectangle: Rounded Corners 3">
          <a:extLst>
            <a:ext uri="{FF2B5EF4-FFF2-40B4-BE49-F238E27FC236}">
              <a16:creationId xmlns:a16="http://schemas.microsoft.com/office/drawing/2014/main" id="{909AB8AE-A8B4-CB14-8B72-190C579655A8}"/>
            </a:ext>
          </a:extLst>
        </xdr:cNvPr>
        <xdr:cNvSpPr/>
      </xdr:nvSpPr>
      <xdr:spPr>
        <a:xfrm>
          <a:off x="4648199" y="942975"/>
          <a:ext cx="1666876" cy="62865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Average Product Price</a:t>
          </a:r>
        </a:p>
        <a:p>
          <a:pPr algn="l"/>
          <a:r>
            <a:rPr lang="en-US" sz="1200" b="1" i="0" u="none" strike="noStrike">
              <a:solidFill>
                <a:schemeClr val="tx1"/>
              </a:solidFill>
              <a:effectLst/>
              <a:latin typeface="+mn-lt"/>
              <a:ea typeface="+mn-ea"/>
              <a:cs typeface="+mn-cs"/>
            </a:rPr>
            <a:t>Ksh 1,186.89</a:t>
          </a:r>
          <a:r>
            <a:rPr lang="en-US" sz="1200" b="1">
              <a:solidFill>
                <a:schemeClr val="tx1"/>
              </a:solidFill>
              <a:effectLst/>
            </a:rPr>
            <a:t> </a:t>
          </a:r>
          <a:endParaRPr lang="en-US" sz="1200" b="1">
            <a:solidFill>
              <a:schemeClr val="tx1"/>
            </a:solidFill>
          </a:endParaRPr>
        </a:p>
      </xdr:txBody>
    </xdr:sp>
    <xdr:clientData/>
  </xdr:twoCellAnchor>
  <xdr:twoCellAnchor>
    <xdr:from>
      <xdr:col>10</xdr:col>
      <xdr:colOff>542925</xdr:colOff>
      <xdr:row>4</xdr:row>
      <xdr:rowOff>161925</xdr:rowOff>
    </xdr:from>
    <xdr:to>
      <xdr:col>14</xdr:col>
      <xdr:colOff>142875</xdr:colOff>
      <xdr:row>8</xdr:row>
      <xdr:rowOff>28575</xdr:rowOff>
    </xdr:to>
    <xdr:sp macro="" textlink="">
      <xdr:nvSpPr>
        <xdr:cNvPr id="5" name="Rectangle: Rounded Corners 4">
          <a:extLst>
            <a:ext uri="{FF2B5EF4-FFF2-40B4-BE49-F238E27FC236}">
              <a16:creationId xmlns:a16="http://schemas.microsoft.com/office/drawing/2014/main" id="{AE746DAB-65AF-8197-9F6E-941FB296F1A7}"/>
            </a:ext>
          </a:extLst>
        </xdr:cNvPr>
        <xdr:cNvSpPr/>
      </xdr:nvSpPr>
      <xdr:spPr>
        <a:xfrm>
          <a:off x="6638925" y="923925"/>
          <a:ext cx="2038350" cy="62865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Average Discount Percentage</a:t>
          </a:r>
        </a:p>
        <a:p>
          <a:pPr algn="l"/>
          <a:r>
            <a:rPr lang="en-US" sz="1400" b="1" i="0" u="none" strike="noStrike">
              <a:solidFill>
                <a:schemeClr val="tx1"/>
              </a:solidFill>
              <a:effectLst/>
              <a:latin typeface="+mn-lt"/>
              <a:ea typeface="+mn-ea"/>
              <a:cs typeface="+mn-cs"/>
            </a:rPr>
            <a:t>37%</a:t>
          </a:r>
          <a:r>
            <a:rPr lang="en-US" sz="1400" b="1">
              <a:solidFill>
                <a:schemeClr val="tx1"/>
              </a:solidFill>
              <a:effectLst/>
            </a:rPr>
            <a:t> </a:t>
          </a:r>
          <a:endParaRPr lang="en-US" sz="1400" b="1">
            <a:solidFill>
              <a:schemeClr val="tx1"/>
            </a:solidFill>
          </a:endParaRPr>
        </a:p>
      </xdr:txBody>
    </xdr:sp>
    <xdr:clientData/>
  </xdr:twoCellAnchor>
  <xdr:twoCellAnchor>
    <xdr:from>
      <xdr:col>14</xdr:col>
      <xdr:colOff>409575</xdr:colOff>
      <xdr:row>5</xdr:row>
      <xdr:rowOff>0</xdr:rowOff>
    </xdr:from>
    <xdr:to>
      <xdr:col>17</xdr:col>
      <xdr:colOff>219075</xdr:colOff>
      <xdr:row>8</xdr:row>
      <xdr:rowOff>19050</xdr:rowOff>
    </xdr:to>
    <xdr:sp macro="" textlink="">
      <xdr:nvSpPr>
        <xdr:cNvPr id="6" name="Rectangle: Rounded Corners 5">
          <a:extLst>
            <a:ext uri="{FF2B5EF4-FFF2-40B4-BE49-F238E27FC236}">
              <a16:creationId xmlns:a16="http://schemas.microsoft.com/office/drawing/2014/main" id="{135EA348-572C-0F8B-2E19-A96492CE4ED6}"/>
            </a:ext>
          </a:extLst>
        </xdr:cNvPr>
        <xdr:cNvSpPr/>
      </xdr:nvSpPr>
      <xdr:spPr>
        <a:xfrm>
          <a:off x="8943975" y="952500"/>
          <a:ext cx="1638300" cy="59055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       </a:t>
          </a:r>
          <a:r>
            <a:rPr lang="en-US" sz="1200" b="1">
              <a:solidFill>
                <a:schemeClr val="tx1"/>
              </a:solidFill>
            </a:rPr>
            <a:t>Average Rating</a:t>
          </a:r>
        </a:p>
        <a:p>
          <a:pPr algn="l"/>
          <a:r>
            <a:rPr lang="en-US" sz="1400" b="1" i="0" u="none" strike="noStrike">
              <a:solidFill>
                <a:schemeClr val="tx1"/>
              </a:solidFill>
              <a:effectLst/>
              <a:latin typeface="+mn-lt"/>
              <a:ea typeface="+mn-ea"/>
              <a:cs typeface="+mn-cs"/>
            </a:rPr>
            <a:t>      3.9</a:t>
          </a:r>
          <a:r>
            <a:rPr lang="en-US" sz="1400" b="1">
              <a:solidFill>
                <a:schemeClr val="tx1"/>
              </a:solidFill>
              <a:effectLst/>
            </a:rPr>
            <a:t> </a:t>
          </a:r>
          <a:endParaRPr lang="en-US" sz="1400" b="1">
            <a:solidFill>
              <a:schemeClr val="tx1"/>
            </a:solidFill>
          </a:endParaRPr>
        </a:p>
      </xdr:txBody>
    </xdr:sp>
    <xdr:clientData/>
  </xdr:twoCellAnchor>
  <xdr:twoCellAnchor>
    <xdr:from>
      <xdr:col>17</xdr:col>
      <xdr:colOff>371475</xdr:colOff>
      <xdr:row>5</xdr:row>
      <xdr:rowOff>0</xdr:rowOff>
    </xdr:from>
    <xdr:to>
      <xdr:col>20</xdr:col>
      <xdr:colOff>314325</xdr:colOff>
      <xdr:row>8</xdr:row>
      <xdr:rowOff>28575</xdr:rowOff>
    </xdr:to>
    <xdr:sp macro="" textlink="">
      <xdr:nvSpPr>
        <xdr:cNvPr id="7" name="Rectangle: Rounded Corners 6">
          <a:extLst>
            <a:ext uri="{FF2B5EF4-FFF2-40B4-BE49-F238E27FC236}">
              <a16:creationId xmlns:a16="http://schemas.microsoft.com/office/drawing/2014/main" id="{8251783B-C7FD-7C4B-FAFA-50A5D0D34FDD}"/>
            </a:ext>
          </a:extLst>
        </xdr:cNvPr>
        <xdr:cNvSpPr/>
      </xdr:nvSpPr>
      <xdr:spPr>
        <a:xfrm>
          <a:off x="10734675" y="952500"/>
          <a:ext cx="1771650" cy="60007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Customer Reviews        </a:t>
          </a:r>
          <a:r>
            <a:rPr lang="en-US" sz="1400" b="1" i="0" u="none" strike="noStrike">
              <a:solidFill>
                <a:schemeClr val="tx1"/>
              </a:solidFill>
              <a:effectLst/>
              <a:latin typeface="+mn-lt"/>
              <a:ea typeface="+mn-ea"/>
              <a:cs typeface="+mn-cs"/>
            </a:rPr>
            <a:t>723</a:t>
          </a:r>
          <a:r>
            <a:rPr lang="en-US" sz="1400" b="1">
              <a:solidFill>
                <a:schemeClr val="tx1"/>
              </a:solidFill>
              <a:effectLst/>
            </a:rPr>
            <a:t> </a:t>
          </a:r>
          <a:endParaRPr lang="en-US" sz="1400" b="1">
            <a:solidFill>
              <a:schemeClr val="tx1"/>
            </a:solidFill>
          </a:endParaRPr>
        </a:p>
      </xdr:txBody>
    </xdr:sp>
    <xdr:clientData/>
  </xdr:twoCellAnchor>
  <xdr:twoCellAnchor>
    <xdr:from>
      <xdr:col>3</xdr:col>
      <xdr:colOff>209549</xdr:colOff>
      <xdr:row>11</xdr:row>
      <xdr:rowOff>133349</xdr:rowOff>
    </xdr:from>
    <xdr:to>
      <xdr:col>12</xdr:col>
      <xdr:colOff>66675</xdr:colOff>
      <xdr:row>25</xdr:row>
      <xdr:rowOff>123824</xdr:rowOff>
    </xdr:to>
    <xdr:graphicFrame macro="">
      <xdr:nvGraphicFramePr>
        <xdr:cNvPr id="13" name="Chart 12">
          <a:extLst>
            <a:ext uri="{FF2B5EF4-FFF2-40B4-BE49-F238E27FC236}">
              <a16:creationId xmlns:a16="http://schemas.microsoft.com/office/drawing/2014/main" id="{3866A3A8-EDD7-44F7-AA56-453819BCB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228599</xdr:colOff>
      <xdr:row>26</xdr:row>
      <xdr:rowOff>19049</xdr:rowOff>
    </xdr:from>
    <xdr:to>
      <xdr:col>12</xdr:col>
      <xdr:colOff>123825</xdr:colOff>
      <xdr:row>41</xdr:row>
      <xdr:rowOff>47624</xdr:rowOff>
    </xdr:to>
    <xdr:graphicFrame macro="">
      <xdr:nvGraphicFramePr>
        <xdr:cNvPr id="15" name="Chart 14">
          <a:extLst>
            <a:ext uri="{FF2B5EF4-FFF2-40B4-BE49-F238E27FC236}">
              <a16:creationId xmlns:a16="http://schemas.microsoft.com/office/drawing/2014/main" id="{BB254933-9829-41B8-8F4C-A0010088D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238125</xdr:colOff>
      <xdr:row>41</xdr:row>
      <xdr:rowOff>171449</xdr:rowOff>
    </xdr:from>
    <xdr:to>
      <xdr:col>12</xdr:col>
      <xdr:colOff>104775</xdr:colOff>
      <xdr:row>57</xdr:row>
      <xdr:rowOff>9524</xdr:rowOff>
    </xdr:to>
    <xdr:graphicFrame macro="">
      <xdr:nvGraphicFramePr>
        <xdr:cNvPr id="17" name="Chart 16">
          <a:extLst>
            <a:ext uri="{FF2B5EF4-FFF2-40B4-BE49-F238E27FC236}">
              <a16:creationId xmlns:a16="http://schemas.microsoft.com/office/drawing/2014/main" id="{39FBFFA7-E522-493B-B001-5D422010A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323850</xdr:colOff>
      <xdr:row>11</xdr:row>
      <xdr:rowOff>104775</xdr:rowOff>
    </xdr:from>
    <xdr:to>
      <xdr:col>23</xdr:col>
      <xdr:colOff>19050</xdr:colOff>
      <xdr:row>28</xdr:row>
      <xdr:rowOff>104775</xdr:rowOff>
    </xdr:to>
    <xdr:graphicFrame macro="">
      <xdr:nvGraphicFramePr>
        <xdr:cNvPr id="19" name="Chart 18">
          <a:extLst>
            <a:ext uri="{FF2B5EF4-FFF2-40B4-BE49-F238E27FC236}">
              <a16:creationId xmlns:a16="http://schemas.microsoft.com/office/drawing/2014/main" id="{AE3C6F93-DF93-4371-B1D7-0966B7501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314325</xdr:colOff>
      <xdr:row>29</xdr:row>
      <xdr:rowOff>57150</xdr:rowOff>
    </xdr:from>
    <xdr:to>
      <xdr:col>23</xdr:col>
      <xdr:colOff>0</xdr:colOff>
      <xdr:row>44</xdr:row>
      <xdr:rowOff>114300</xdr:rowOff>
    </xdr:to>
    <xdr:graphicFrame macro="">
      <xdr:nvGraphicFramePr>
        <xdr:cNvPr id="21" name="Chart 20">
          <a:extLst>
            <a:ext uri="{FF2B5EF4-FFF2-40B4-BE49-F238E27FC236}">
              <a16:creationId xmlns:a16="http://schemas.microsoft.com/office/drawing/2014/main" id="{AD5B0907-FD55-4808-A8AB-C04167BD6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314325</xdr:colOff>
      <xdr:row>45</xdr:row>
      <xdr:rowOff>0</xdr:rowOff>
    </xdr:from>
    <xdr:to>
      <xdr:col>23</xdr:col>
      <xdr:colOff>57150</xdr:colOff>
      <xdr:row>62</xdr:row>
      <xdr:rowOff>171450</xdr:rowOff>
    </xdr:to>
    <xdr:graphicFrame macro="">
      <xdr:nvGraphicFramePr>
        <xdr:cNvPr id="24" name="Chart 23">
          <a:extLst>
            <a:ext uri="{FF2B5EF4-FFF2-40B4-BE49-F238E27FC236}">
              <a16:creationId xmlns:a16="http://schemas.microsoft.com/office/drawing/2014/main" id="{40ECD591-A24B-498C-91B1-D98D26F2E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104775</xdr:colOff>
      <xdr:row>11</xdr:row>
      <xdr:rowOff>142875</xdr:rowOff>
    </xdr:from>
    <xdr:to>
      <xdr:col>3</xdr:col>
      <xdr:colOff>104775</xdr:colOff>
      <xdr:row>25</xdr:row>
      <xdr:rowOff>142875</xdr:rowOff>
    </xdr:to>
    <mc:AlternateContent xmlns:mc="http://schemas.openxmlformats.org/markup-compatibility/2006" xmlns:a14="http://schemas.microsoft.com/office/drawing/2010/main">
      <mc:Choice Requires="a14">
        <xdr:graphicFrame macro="">
          <xdr:nvGraphicFramePr>
            <xdr:cNvPr id="26" name="Rating Category">
              <a:extLst>
                <a:ext uri="{FF2B5EF4-FFF2-40B4-BE49-F238E27FC236}">
                  <a16:creationId xmlns:a16="http://schemas.microsoft.com/office/drawing/2014/main" id="{B30BDB40-A06F-CB92-B116-36DC9990B692}"/>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04775" y="2238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26</xdr:row>
      <xdr:rowOff>0</xdr:rowOff>
    </xdr:from>
    <xdr:to>
      <xdr:col>3</xdr:col>
      <xdr:colOff>85725</xdr:colOff>
      <xdr:row>40</xdr:row>
      <xdr:rowOff>0</xdr:rowOff>
    </xdr:to>
    <mc:AlternateContent xmlns:mc="http://schemas.openxmlformats.org/markup-compatibility/2006" xmlns:a14="http://schemas.microsoft.com/office/drawing/2010/main">
      <mc:Choice Requires="a14">
        <xdr:graphicFrame macro="">
          <xdr:nvGraphicFramePr>
            <xdr:cNvPr id="28" name="Discount Category">
              <a:extLst>
                <a:ext uri="{FF2B5EF4-FFF2-40B4-BE49-F238E27FC236}">
                  <a16:creationId xmlns:a16="http://schemas.microsoft.com/office/drawing/2014/main" id="{E4409EA9-CF6B-47EA-6EC0-B26DC375ADE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85725" y="4953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40</xdr:row>
      <xdr:rowOff>38100</xdr:rowOff>
    </xdr:from>
    <xdr:to>
      <xdr:col>3</xdr:col>
      <xdr:colOff>76200</xdr:colOff>
      <xdr:row>54</xdr:row>
      <xdr:rowOff>38100</xdr:rowOff>
    </xdr:to>
    <mc:AlternateContent xmlns:mc="http://schemas.openxmlformats.org/markup-compatibility/2006" xmlns:a14="http://schemas.microsoft.com/office/drawing/2010/main">
      <mc:Choice Requires="a14">
        <xdr:graphicFrame macro="">
          <xdr:nvGraphicFramePr>
            <xdr:cNvPr id="30" name="Price Category">
              <a:extLst>
                <a:ext uri="{FF2B5EF4-FFF2-40B4-BE49-F238E27FC236}">
                  <a16:creationId xmlns:a16="http://schemas.microsoft.com/office/drawing/2014/main" id="{13E6955A-4C24-ED07-01A3-2523E2691F80}"/>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76200" y="765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304800</xdr:colOff>
      <xdr:row>63</xdr:row>
      <xdr:rowOff>28575</xdr:rowOff>
    </xdr:from>
    <xdr:to>
      <xdr:col>22</xdr:col>
      <xdr:colOff>495300</xdr:colOff>
      <xdr:row>79</xdr:row>
      <xdr:rowOff>47625</xdr:rowOff>
    </xdr:to>
    <xdr:graphicFrame macro="">
      <xdr:nvGraphicFramePr>
        <xdr:cNvPr id="36" name="Chart 35">
          <a:extLst>
            <a:ext uri="{FF2B5EF4-FFF2-40B4-BE49-F238E27FC236}">
              <a16:creationId xmlns:a16="http://schemas.microsoft.com/office/drawing/2014/main" id="{A69AD1F2-CFF7-4AC1-9EEC-1B50EB8B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209550</xdr:colOff>
      <xdr:row>57</xdr:row>
      <xdr:rowOff>180975</xdr:rowOff>
    </xdr:from>
    <xdr:to>
      <xdr:col>12</xdr:col>
      <xdr:colOff>228600</xdr:colOff>
      <xdr:row>74</xdr:row>
      <xdr:rowOff>104775</xdr:rowOff>
    </xdr:to>
    <xdr:graphicFrame macro="">
      <xdr:nvGraphicFramePr>
        <xdr:cNvPr id="38" name="Chart 37">
          <a:extLst>
            <a:ext uri="{FF2B5EF4-FFF2-40B4-BE49-F238E27FC236}">
              <a16:creationId xmlns:a16="http://schemas.microsoft.com/office/drawing/2014/main" id="{C33E80DF-A8E1-42BD-9D0D-42719C5B7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590550</xdr:colOff>
      <xdr:row>11</xdr:row>
      <xdr:rowOff>66674</xdr:rowOff>
    </xdr:from>
    <xdr:to>
      <xdr:col>44</xdr:col>
      <xdr:colOff>457200</xdr:colOff>
      <xdr:row>63</xdr:row>
      <xdr:rowOff>152400</xdr:rowOff>
    </xdr:to>
    <xdr:sp macro="" textlink="">
      <xdr:nvSpPr>
        <xdr:cNvPr id="39" name="Rectangle 38">
          <a:extLst>
            <a:ext uri="{FF2B5EF4-FFF2-40B4-BE49-F238E27FC236}">
              <a16:creationId xmlns:a16="http://schemas.microsoft.com/office/drawing/2014/main" id="{D0D539DC-EE73-5766-04E8-764AAF6D2921}"/>
            </a:ext>
          </a:extLst>
        </xdr:cNvPr>
        <xdr:cNvSpPr/>
      </xdr:nvSpPr>
      <xdr:spPr>
        <a:xfrm>
          <a:off x="15830550" y="2162174"/>
          <a:ext cx="11449050" cy="9991726"/>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a:p>
          <a:pPr algn="l"/>
          <a:r>
            <a:rPr lang="en-US" sz="1100"/>
            <a:t>                         </a:t>
          </a:r>
          <a:r>
            <a:rPr lang="en-US" sz="1100" baseline="0"/>
            <a:t>                                                                                                              </a:t>
          </a:r>
          <a:r>
            <a:rPr lang="en-US" sz="2400" b="1" baseline="0">
              <a:solidFill>
                <a:schemeClr val="tx1"/>
              </a:solidFill>
            </a:rPr>
            <a:t>FINDINGS AND RECOMMENDATIONS</a:t>
          </a:r>
        </a:p>
        <a:p>
          <a:pPr algn="l"/>
          <a:r>
            <a:rPr lang="en-US" sz="2000" b="1" baseline="0">
              <a:solidFill>
                <a:schemeClr val="tx1"/>
              </a:solidFill>
            </a:rPr>
            <a:t>Findings</a:t>
          </a:r>
        </a:p>
        <a:p>
          <a:pPr algn="l"/>
          <a:r>
            <a:rPr lang="en-US" sz="1600" b="0">
              <a:solidFill>
                <a:schemeClr val="tx1"/>
              </a:solidFill>
            </a:rPr>
            <a:t>A lot</a:t>
          </a:r>
          <a:r>
            <a:rPr lang="en-US" sz="1600" b="0" baseline="0">
              <a:solidFill>
                <a:schemeClr val="tx1"/>
              </a:solidFill>
            </a:rPr>
            <a:t> of products sold had their ratings missing implying most people never really gave a feedback about the products.For the products that were rated ,23 of that lot had excellent ratings ,followed closely by average ratings with 22.</a:t>
          </a:r>
        </a:p>
        <a:p>
          <a:pPr algn="l"/>
          <a:endParaRPr lang="en-US" sz="1600" b="0" baseline="0">
            <a:solidFill>
              <a:schemeClr val="tx1"/>
            </a:solidFill>
          </a:endParaRPr>
        </a:p>
        <a:p>
          <a:pPr algn="l"/>
          <a:r>
            <a:rPr lang="en-US" sz="1600" b="0" baseline="0">
              <a:solidFill>
                <a:schemeClr val="tx1"/>
              </a:solidFill>
            </a:rPr>
            <a:t>Only 5 products had high discount and received low ratings.52 products that had high discount did not receive low ratings.It is evident that Jumia doesnt use discounts to offload bad quality goods</a:t>
          </a:r>
        </a:p>
        <a:p>
          <a:pPr algn="l"/>
          <a:endParaRPr lang="en-US" sz="1600" b="0" baseline="0">
            <a:solidFill>
              <a:schemeClr val="tx1"/>
            </a:solidFill>
          </a:endParaRPr>
        </a:p>
        <a:p>
          <a:pPr algn="l"/>
          <a:r>
            <a:rPr lang="en-US" sz="1600" b="0" baseline="0">
              <a:solidFill>
                <a:schemeClr val="tx1"/>
              </a:solidFill>
            </a:rPr>
            <a:t>Again only 5 products had high discount that received low engagements.52 products received fairly good number of reviews although we cant really tell what kind of engagement they were.</a:t>
          </a:r>
        </a:p>
        <a:p>
          <a:pPr algn="l"/>
          <a:endParaRPr lang="en-US" sz="1600" b="0" baseline="0">
            <a:solidFill>
              <a:schemeClr val="tx1"/>
            </a:solidFill>
          </a:endParaRPr>
        </a:p>
        <a:p>
          <a:pPr algn="l"/>
          <a:r>
            <a:rPr lang="en-US" sz="1600" b="0" baseline="0">
              <a:solidFill>
                <a:schemeClr val="tx1"/>
              </a:solidFill>
            </a:rPr>
            <a:t>There were no products that had many reviews that received average ratings.</a:t>
          </a:r>
        </a:p>
        <a:p>
          <a:pPr algn="l"/>
          <a:endParaRPr lang="en-US" sz="1600" b="0" baseline="0">
            <a:solidFill>
              <a:schemeClr val="tx1"/>
            </a:solidFill>
          </a:endParaRPr>
        </a:p>
        <a:p>
          <a:pPr algn="l"/>
          <a:r>
            <a:rPr lang="en-US" sz="1600" b="0" baseline="0">
              <a:solidFill>
                <a:schemeClr val="tx1"/>
              </a:solidFill>
            </a:rPr>
            <a:t>No correlation between discount and reviews ,weak correlation between both ratings and reviews and price ratings.A futher look  at the coefficients clearly indicated that linear correlation failed because data was clustered tightly together</a:t>
          </a:r>
        </a:p>
        <a:p>
          <a:pPr algn="l"/>
          <a:endParaRPr lang="en-US" sz="1600" b="0" baseline="0">
            <a:solidFill>
              <a:schemeClr val="tx1"/>
            </a:solidFill>
          </a:endParaRPr>
        </a:p>
        <a:p>
          <a:pPr algn="l"/>
          <a:r>
            <a:rPr lang="en-US" sz="1600" b="0" baseline="0">
              <a:solidFill>
                <a:schemeClr val="tx1"/>
              </a:solidFill>
            </a:rPr>
            <a:t>Highly priced products had more ratings of averagely 4.08 which is actually excellent ratings.We can deduce that expensive products did satisfy those who bought them.</a:t>
          </a:r>
        </a:p>
        <a:p>
          <a:pPr algn="l"/>
          <a:endParaRPr lang="en-US" sz="1600" b="0" baseline="0">
            <a:solidFill>
              <a:schemeClr val="tx1"/>
            </a:solidFill>
          </a:endParaRPr>
        </a:p>
        <a:p>
          <a:pPr algn="l"/>
          <a:r>
            <a:rPr lang="en-US" sz="1600" b="0" baseline="0">
              <a:solidFill>
                <a:schemeClr val="tx1"/>
              </a:solidFill>
            </a:rPr>
            <a:t>Products with medium discounts of between (20%-40%) were reviewed highly receiving approximately 351 reviews followed by products with high discounts that received 334 reviews.However we did not have a metric of knowing what kind of reviews(good or bad reviews) we received and hence we can not conclude anything based on this data</a:t>
          </a:r>
        </a:p>
        <a:p>
          <a:pPr algn="l"/>
          <a:endParaRPr lang="en-US" sz="1600" b="0" baseline="0">
            <a:solidFill>
              <a:schemeClr val="tx1"/>
            </a:solidFill>
          </a:endParaRPr>
        </a:p>
        <a:p>
          <a:pPr algn="l"/>
          <a:r>
            <a:rPr lang="en-US" sz="2000" b="1" baseline="0">
              <a:solidFill>
                <a:schemeClr val="tx1"/>
              </a:solidFill>
            </a:rPr>
            <a:t>Recommendations</a:t>
          </a:r>
        </a:p>
        <a:p>
          <a:pPr algn="l"/>
          <a:r>
            <a:rPr lang="en-US" sz="1600" b="0" baseline="0">
              <a:solidFill>
                <a:schemeClr val="tx1"/>
              </a:solidFill>
            </a:rPr>
            <a:t>Management should continue stocking good quality products,continue providing good cutomer service and good customer relations to maintain our good ratings</a:t>
          </a:r>
        </a:p>
        <a:p>
          <a:pPr algn="l"/>
          <a:endParaRPr lang="en-US" sz="1600" b="0" baseline="0">
            <a:solidFill>
              <a:schemeClr val="tx1"/>
            </a:solidFill>
          </a:endParaRPr>
        </a:p>
        <a:p>
          <a:pPr algn="l"/>
          <a:r>
            <a:rPr lang="en-US" sz="1600" b="0" baseline="0">
              <a:solidFill>
                <a:schemeClr val="tx1"/>
              </a:solidFill>
            </a:rPr>
            <a:t>The five products that had low ratings and low engagement should be examined.Jumia need to get to the bottom of it all and figure out why they received low ratings.Is it an issue from their end or their suppliers? All these should be known</a:t>
          </a:r>
        </a:p>
        <a:p>
          <a:pPr algn="l"/>
          <a:endParaRPr lang="en-US" sz="1600" b="0" baseline="0">
            <a:solidFill>
              <a:schemeClr val="tx1"/>
            </a:solidFill>
          </a:endParaRPr>
        </a:p>
        <a:p>
          <a:pPr algn="l"/>
          <a:r>
            <a:rPr lang="en-US" sz="1600" b="0" baseline="0">
              <a:solidFill>
                <a:schemeClr val="tx1"/>
              </a:solidFill>
            </a:rPr>
            <a:t>Enrich the data for better analysis.Let us know what kind of reviews are these.Let us also know our sales </a:t>
          </a:r>
        </a:p>
        <a:p>
          <a:pPr algn="l"/>
          <a:endParaRPr lang="en-US" sz="1600" b="0" baseline="0">
            <a:solidFill>
              <a:schemeClr val="tx1"/>
            </a:solidFill>
          </a:endParaRPr>
        </a:p>
        <a:p>
          <a:pPr algn="l"/>
          <a:r>
            <a:rPr lang="en-US" sz="2000" b="1" baseline="0">
              <a:solidFill>
                <a:schemeClr val="tx1"/>
              </a:solidFill>
            </a:rPr>
            <a:t>Limitations</a:t>
          </a:r>
        </a:p>
        <a:p>
          <a:pPr algn="l"/>
          <a:r>
            <a:rPr lang="en-US" sz="1600" b="0" baseline="0">
              <a:solidFill>
                <a:schemeClr val="tx1"/>
              </a:solidFill>
            </a:rPr>
            <a:t>Unfortunately the data set did not have a column showing the type of products and hence we can not know this highly rated products which are expensive are they electronics,furnitures or stationery.Having 'type of product column' we could have grouped this products with excellent ratings and from there we can know if they are electronics are we maintaining the same suppliers ...</a:t>
          </a:r>
        </a:p>
        <a:p>
          <a:pPr algn="l"/>
          <a:endParaRPr lang="en-US" sz="1600" b="0" baseline="0">
            <a:solidFill>
              <a:schemeClr val="tx1"/>
            </a:solidFill>
          </a:endParaRPr>
        </a:p>
        <a:p>
          <a:pPr algn="l"/>
          <a:endParaRPr lang="en-US" sz="16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597157638891" createdVersion="8" refreshedVersion="8" minRefreshableVersion="3" recordCount="112" xr:uid="{AC3E06D4-75ED-472A-9882-DA66DB49806C}">
  <cacheSource type="worksheet">
    <worksheetSource name="tblproducts"/>
  </cacheSource>
  <cacheFields count="17">
    <cacheField name="Product" numFmtId="0">
      <sharedItems count="109">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2 Pieces Cake Decorating Tool Set Gift Kit Baking Supplies"/>
        <s v="53Pcs/Set Yarn Knitting Crochet Hooks With Bag - Fortune Cat"/>
        <s v="Agapeon Toothbrush Holder And Toothpaste Dispenser"/>
        <s v="VIC Wireless Vacuum Cleaner Dual Use For Home And Car 120W High Power Powerful"/>
        <s v="Intelligent  LED Body Sensor Wireless Lighting Night Light USB"/>
        <s v="220V 60W Electric Soldering Iron Kits With Tools, Tips, And Multimeter"/>
        <s v="Metal Decorative Hooks Key Hangers Entryway Wall Hooks Towel Hooks - Home"/>
        <s v="Foldable Overbed Table/Desk"/>
        <s v="5-PCS Stainless Steel Cooking Pot Set With Steamed Slices"/>
        <s v="3PCS Single Head Knitting Crochet Sweater Needle Set"/>
        <s v="12 Litre Black Insulated Lunch Box"/>
        <s v="40cm Gold DIY Acrylic Wall Sticker Clock"/>
        <s v="12 Litre Insulated Lunch Box Grey"/>
        <s v="Genebre 115 In 1 Screwdriver Repairing Tool Set For IPhone Cellphone Hand Tool"/>
        <s v="Portable Wardrobe Nonwoven With 3 Hanging Rods And 6 Storage Shelves"/>
        <s v="Mythco 120COB Solar Wall Ligt With Motion Sensor And Remote Control 3 Modes"/>
        <s v="Exfoliate And Exfoliate Face Towel - Black"/>
        <s v="LED Eye Protection  Desk Lamp , Study, Reading, USB Fan - Double Pen Holder"/>
        <s v="Multifunction Laser Level With Adjustment Tripod"/>
        <s v="LASA 3 Tier Bamboo Shoe Bench Storage Shelf"/>
        <s v="380ML USB Rechargeable Portable Small Blenders And Juicers"/>
        <s v="Electric LED UV Mosquito Killer Lamp, Outdoor/Indoor Fly Killer Trap Light -USB"/>
        <s v="Weighing Scale Digital Bathroom Body Fat Scale USB-Black"/>
        <s v="7-piece Set Of Storage Bags, Travel Storage Bags, Shoe Bags"/>
        <s v="Artificial Potted Flowers Room Decorative Flowers (2 Pieces)"/>
        <s v="Watercolour Gold Foil Textured Print Pillow Cover"/>
        <s v="LASA Digital Thermometer And Hydrometer"/>
        <s v="LED Romantic Spaceship Starry Sky Projector,Children's Bedroom Night Light-Blue"/>
        <s v="5 Pieces/set Of Stainless Steel Induction Cooker Pots"/>
        <s v="LASA FOLDING TABLE SERVING STAND"/>
        <s v="13 In 1 Home Repair Tools Box Kit Set"/>
        <s v="Wrought Iron Bathroom Shelf Wall Mounted Free Punch Toilet Rack"/>
        <s v="32PCS Portable Cordless Drill Set With Cyclic Battery Drive -26 Variable Speed"/>
        <s v="Large Lazy Inflatable Sofa Chairs PVC Lounger Seat Bag"/>
        <s v="Portable Home Small Air Humidifier 3-Speed Fan - Green"/>
        <s v="LED Wall Digital Alarm Clock Study Home 12 / 24H Clock Calendar"/>
        <s v="LASA Aluminum Folding Truck Hand Cart - 68kg Max"/>
        <s v="Classic Black Cat Cotton Hemp Pillow Case For Home Car"/>
        <s v="Anti-Skid Absorbent Insulation Coaster  For Home Office"/>
        <s v="Peacock  Throw Pillow Cushion Case For Home Car"/>
        <s v="115  Piece Set Of Multifunctional Precision Screwdrivers"/>
        <s v="1/2/3 Seater Elastic Sofa Cover,Living Room/Home Decor Chair Cover-Grey"/>
        <s v="Desk Foldable Fan Adjustable Fan Strong Wind 3 Gear Usb"/>
        <s v="Wall-mounted Sticker Punch-free Plug Fixer"/>
        <s v="Bedroom Simple Floor Hanging Clothes Rack Single Pole Hat Rack - White"/>
        <s v="Household Pineapple Peeler Peeler"/>
        <s v="Memory Foam Neck Pillow Cover, With Pillow Core - 50*30cm"/>
        <s v="DIY File Folder, Office Drawer File Holder, Pen Holder, Desktop Storage Rack"/>
        <s v="Konka Healty Electric Kettle, 24-hour Heat Preservation,1.5L,800W, White"/>
        <s v="6 In 1 Bottle Can Opener Multifunctional Easy Opener"/>
        <s v="Creative Owl Shape Keychain Black"/>
        <s v="Simple Metal Dog Art Sculpture Decoration For Home Office"/>
        <s v="Modern Sofa Throw Pillow Cover-45x45cm-Blue&amp;Red"/>
        <s v="Christmas Elk Fence Yard Lawn Decorations Cute For Holidays"/>
        <s v="Brush &amp; Paintbrush Cleaning Tool Pink"/>
        <s v="Wall Clock With Hidden Safe Box"/>
        <s v="2PCS Ice Silk Square Cushion Cover Pillowcases - 65x65cm"/>
        <s v="4M Float Switch Water Level Controller -Water Tank"/>
        <s v="Car Phone Charging Stand"/>
        <s v="Angle Measuring Tool Full Metal Multi Angle Measuring Tool"/>
        <s v="7PCS Silicone Thumb Knife Finger Protector Vegetable Harvesting Knife"/>
        <s v="Cartoon Car Decoration Cute Individuality For Car Home Desk"/>
        <s v="4 Piece Coloured Stainless Steel Kitchenware Set"/>
        <s v="Baby Early Education Shape And Color Cognitive Training Toys"/>
        <s v="Christmas Fence Garden Decorations Outdoor For Holiday Home"/>
        <s v="Portable Wine Table With Folding Round Table"/>
        <s v="Sewing Machine Needle Threader Stitch Insertion Tool Automatic Quick Sewing"/>
        <s v="2PCS/LOT Solar LED Outdoor Intelligent Light Controlled Wall Lamp"/>
        <s v="6 Layers Steel Pipe Assembling Dustproof Storage Shoe Cabinet"/>
        <s v="Black Simple Water Cup Wine Coaster Anti Slip Absorbent"/>
        <s v="MultiFunctional Storage Rack Multi-layer Bookshelf"/>
        <s v="3PCS Rotary Scraper Thermomix For Kitchen"/>
        <s v="Multifunctional Hanging Storage Box Storage Bag (4 Layers)"/>
        <s v="4pcs Bathroom/Kitchen Towel Rack,Roll Paper Holder,Towel Bars,Hook"/>
        <s v="Balloon Insert, Birthday Party Balloon Set, PU Leather"/>
        <s v="8in1 Screwdriver With LED Light"/>
        <s v="Cute Christmas Fence Garden Decorations For Holiday Home"/>
        <s v="9pcs Gas Mask, For Painting, Dust, Formaldehyde Grinding, Polishing"/>
        <s v="LASA Stainless Steel Double Wall Mount Soap Dispenser - 500ml"/>
        <s v="2pcs Solar Street Light Flood Light Outdoor"/>
        <s v="5m Waterproof Spherical LED String Lights Outdoor Ball Chain Lights Party Lighting Decoration Adjustable"/>
        <s v="LED Solar Street Light-fake Camera"/>
        <s v="Cartoon Embroidered Mini Towel Bear Cotton Wash Cloth Hand 4pcs"/>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Shower Cap Wide Elastic Band Cover Reusable Bashroom Cap"/>
        <s v="Pen Grips For Kids Pen Grip Posture Correction Tool For Kids"/>
        <s v="2 Pairs Cowhide Split Leather Work Gloves.32â„‰ Or Above Welding Gloves"/>
        <s v="Portable Soap Dispenser Kitchen Detergent Press Box Kitchen Tools"/>
        <s v="Shower Nozzle Cleaning Unclogging Needle Mini Crevice Small Hole Cleaning Brush"/>
        <s v="Thickening Multipurpose Non Stick Easy To Clean Heat Resistant Spoon Pad"/>
        <s v="24 Grid Wall-mounted Sundries Organiser Fabric Closet Bag Storage Rack"/>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Discount" numFmtId="9">
      <sharedItems containsSemiMixedTypes="0" containsString="0" containsNumber="1" minValue="0.01" maxValue="0.64"/>
    </cacheField>
    <cacheField name="Calculated Discount" numFmtId="10">
      <sharedItems containsSemiMixedTypes="0" containsString="0" containsNumber="1" minValue="1.2638230647709321E-2" maxValue="0.64014466546112114"/>
    </cacheField>
    <cacheField name="Review" numFmtId="0">
      <sharedItems containsString="0" containsBlank="1" containsNumber="1" containsInteger="1" minValue="1" maxValue="69"/>
    </cacheField>
    <cacheField name="Ratings" numFmtId="164">
      <sharedItems containsString="0" containsBlank="1" containsNumber="1" minValue="2" maxValue="5" count="23">
        <n v="2.8"/>
        <n v="4.5999999999999996"/>
        <n v="4.7"/>
        <n v="4.3"/>
        <n v="4.5"/>
        <n v="4.0999999999999996"/>
        <n v="2.6"/>
        <n v="2.9"/>
        <n v="2.7"/>
        <n v="4"/>
        <n v="4.4000000000000004"/>
        <n v="2.1"/>
        <n v="3.3"/>
        <n v="3.8"/>
        <n v="4.8"/>
        <n v="3"/>
        <n v="4.2"/>
        <n v="2.2999999999999998"/>
        <n v="2.2000000000000002"/>
        <n v="2.5"/>
        <n v="5"/>
        <n v="2"/>
        <m/>
      </sharedItems>
    </cacheField>
    <cacheField name="Check Rating" numFmtId="0">
      <sharedItems/>
    </cacheField>
    <cacheField name="Check Discount" numFmtId="0">
      <sharedItems/>
    </cacheField>
    <cacheField name="Check Prices" numFmtId="0">
      <sharedItems count="1">
        <s v="Ok"/>
      </sharedItems>
    </cacheField>
    <cacheField name="Rating Category" numFmtId="0">
      <sharedItems count="4">
        <s v="Poor"/>
        <s v="Excellent"/>
        <s v="Average"/>
        <s v="Missing"/>
      </sharedItems>
    </cacheField>
    <cacheField name="Discount Category" numFmtId="0">
      <sharedItems count="3">
        <s v="High Discount"/>
        <s v="Medium Discount"/>
        <s v="Low Discount"/>
      </sharedItems>
    </cacheField>
    <cacheField name="Price Category" numFmtId="0">
      <sharedItems count="3">
        <s v="Low Price"/>
        <s v="High Price"/>
        <s v="Medium Price"/>
      </sharedItems>
    </cacheField>
    <cacheField name="High Discount &amp;Low Rating" numFmtId="0">
      <sharedItems/>
    </cacheField>
    <cacheField name="High Discount &amp;Low Engagement" numFmtId="0">
      <sharedItems containsBlank="1"/>
    </cacheField>
    <cacheField name="Many Reviews &amp;Average Rating" numFmtId="0">
      <sharedItems/>
    </cacheField>
    <cacheField name="Strong Engagement&amp;Excellent Rating" numFmtId="0">
      <sharedItems/>
    </cacheField>
  </cacheFields>
  <extLst>
    <ext xmlns:x14="http://schemas.microsoft.com/office/spreadsheetml/2009/9/main" uri="{725AE2AE-9491-48be-B2B4-4EB974FC3084}">
      <x14:pivotCacheDefinition pivotCacheId="12182602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24000925927" backgroundQuery="1" createdVersion="8" refreshedVersion="8" minRefreshableVersion="3" recordCount="0" supportSubquery="1" supportAdvancedDrill="1" xr:uid="{9A3ABDFE-E9AA-4B61-B40C-1E637F9BCEAF}">
  <cacheSource type="external" connectionId="1"/>
  <cacheFields count="2">
    <cacheField name="[tblproducts].[Product].[Product]" caption="Product" numFmtId="0" level="1">
      <sharedItems count="10">
        <s v="3PCS Single Head Knitting Crochet Sweater Needle Set"/>
        <s v="5-PCS Stainless Steel Cooking Pot Set With Steamed Slices"/>
        <s v="6 In 1 Bottle Can Opener Multifunctional Easy Opener"/>
        <s v="Classic Black Cat Cotton Hemp Pillow Case For Home Car"/>
        <s v="Creative Owl Shape Keychain Black"/>
        <s v="Exfoliate And Exfoliate Face Towel - Black"/>
        <s v="Intelligent  LED Body Sensor Wireless Lighting Night Light USB"/>
        <s v="LASA 3 Tier Bamboo Shoe Bench Storage Shelf"/>
        <s v="LASA FOLDING TABLE SERVING STAND"/>
        <s v="Mythco 120COB Solar Wall Ligt With Motion Sensor And Remote Control 3 Modes"/>
      </sharedItems>
    </cacheField>
    <cacheField name="[Measures].[Average of Discount]" caption="Average of Discount" numFmtId="0" hierarchy="24" level="32767"/>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hidden="1">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53610532405" backgroundQuery="1" createdVersion="8" refreshedVersion="8" minRefreshableVersion="3" recordCount="0" supportSubquery="1" supportAdvancedDrill="1" xr:uid="{5C76961C-344E-4764-8345-1F280A3861AE}">
  <cacheSource type="external" connectionId="1"/>
  <cacheFields count="2">
    <cacheField name="[tblproducts].[Product].[Product]" caption="Product" numFmtId="0" level="1">
      <sharedItems count="109">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2V 19500rpm Handheld Electric Angle Grinder Tool - UK - Yellow/Black"/>
        <s v="13 In 1 Home Repair Tools Box Kit Set"/>
        <s v="137 Pieces Cake Decorating Tool Set Baking Supplies"/>
        <s v="1PC Refrigerator Food Seal Pocket Fridge Bags"/>
        <s v="2 Pairs Cowhide Split Leather Work Gloves.32â„‰ Or Above Welding Gloves"/>
        <s v="220V 60W Electric Soldering Iron Kits With Tools, Tips, And Multimeter"/>
        <s v="24 Grid Wall-mounted Sundries Organiser Fabric Closet Bag Storage Rack"/>
        <s v="2PCS Ice Silk Square Cushion Cover Pillowcases - 65x65cm"/>
        <s v="2pcs Solar Street Light Flood Light Outdoor"/>
        <s v="2PCS/LOT Solar LED Outdoor Intelligent Light Controlled Wall Lamp"/>
        <s v="32PCS Portable Cordless Drill Set With Cyclic Battery Drive -26 Variable Speed"/>
        <s v="380ML USB Rechargeable Portable Small Blenders And Juicers"/>
        <s v="3D Waterproof EVA Plastic Shower Curtain 1.8*2Mtrs"/>
        <s v="3PCS Rotary Scraper Thermomix For Kitchen"/>
        <s v="3PCS Single Head Knitting Crochet Sweater Needle Set"/>
        <s v="4 Piece Coloured Stainless Steel Kitchenware Set"/>
        <s v="40cm Gold DIY Acrylic Wall Sticker Clock"/>
        <s v="4M Float Switch Water Level Controller -Water Tank"/>
        <s v="4pcs Bathroom/Kitchen Towel Rack,Roll Paper Holder,Towel Bars,Hook"/>
        <s v="5 Pieces/set Of Stainless Steel Induction Cooker Pots"/>
        <s v="52 Pieces Cake Decorating Tool Set Gift Kit Baking Supplies"/>
        <s v="53 Pieces/Set Yarn Knitting Crochet Hooks With Bag - Pansies"/>
        <s v="53Pcs/Set Yarn Knitting Crochet Hooks With Bag - Fortune Cat"/>
        <s v="5m Waterproof Spherical LED String Lights Outdoor Ball Chain Lights Party Lighting Decoration Adjustable"/>
        <s v="5-PCS Stainless Steel Cooking Pot Set With Steamed Slices"/>
        <s v="6 In 1 Bottle Can Opener Multifunctional Easy Opener"/>
        <s v="6 Layers Steel Pipe Assembling Dustproof Storage Shoe Cabinet"/>
        <s v="60W Hot Melt Glue Sprayer - Efficient And Stable Glue Dispensing"/>
        <s v="7PCS Silicone Thumb Knife Finger Protector Vegetable Harvesting Knife"/>
        <s v="7-piece Set Of Storage Bags, Travel Storage Bags, Shoe Bags"/>
        <s v="8in1 Screwdriver With LED Light"/>
        <s v="9pcs Gas Mask, For Painting, Dust, Formaldehyde Grinding, Polishing"/>
        <s v="Agapeon Toothbrush Holder And Toothpaste Dispenser"/>
        <s v="Angle Measuring Tool Full Metal Multi Angle Measuring Tool"/>
        <s v="Anti-Skid Absorbent Insulation Coaster  For Home Office"/>
        <s v="Artificial Potted Flowers Room Decorative Flowers (2 Pieces)"/>
        <s v="Baby Early Education Shape And Color Cognitive Training Toys"/>
        <s v="Balloon Insert, Birthday Party Balloon Set, PU Leather"/>
        <s v="Bedroom Simple Floor Hanging Clothes Rack Single Pole Hat Rack - White"/>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lassic Black Cat Cotton Hemp Pillow Case For Home Car"/>
        <s v="Creative Owl Shape Keychain Black"/>
        <s v="Cushion Silicone Butt Cushion Summer Ice Cushion Honeycomb Gel Cushion"/>
        <s v="Cute Christmas Fence Garden Decorations For Holiday Home"/>
        <s v="Desk Foldable Fan Adjustable Fan Strong Wind 3 Gear Usb"/>
        <s v="DIY File Folder, Office Drawer File Holder, Pen Holder, Desktop Storage Rack"/>
        <s v="Electric LED UV Mosquito Killer Lamp, Outdoor/Indoor Fly Killer Trap Light -USB"/>
        <s v="Electronic Digital Display Vernier Caliper"/>
        <s v="Exfoliate And Exfoliate Face Towel - Black"/>
        <s v="Foldable Overbed Table/Desk"/>
        <s v="Genebre 115 In 1 Screwdriver Repairing Tool Set For IPhone Cellphone Hand Tool"/>
        <s v="Household Pineapple Peeler Peeler"/>
        <s v="Intelligent  LED Body Sensor Wireless Lighting Night Light USB"/>
        <s v="Konka Healty Electric Kettle, 24-hour Heat Preservation,1.5L,800W, White"/>
        <s v="Large Lazy Inflatable Sofa Chairs PVC Lounger Seat Bag"/>
        <s v="LASA 3 Tier Bamboo Shoe Bench Storage Shelf"/>
        <s v="LASA Aluminum Folding Truck Hand Cart - 68kg Max"/>
        <s v="LASA Digital Thermometer And Hydrometer"/>
        <s v="LASA FOLDING TABLE SERVING STAND"/>
        <s v="LASA Stainless Steel Double Wall Mount Soap Dispenser - 500ml"/>
        <s v="LED Eye Protection  Desk Lamp , Study, Reading, USB Fan - Double Pen Holder"/>
        <s v="LED Romantic Spaceship Starry Sky Projector,Children's Bedroom Night Light-Blue"/>
        <s v="LED Solar Street Light-fake Camera"/>
        <s v="LED Wall Digital Alarm Clock Study Home 12 / 24H Clock Calendar"/>
        <s v="Memory Foam Neck Pillow Cover, With Pillow Core - 50*30cm"/>
        <s v="Metal Decorative Hooks Key Hangers Entryway Wall Hooks Towel Hooks - Home"/>
        <s v="Metal Wall Clock Silver Dial Crystal Jewelry Round Home Decoration Wall Clock"/>
        <s v="Modern Sofa Throw Pillow Cover-45x45cm-Blue&amp;Red"/>
        <s v="Multifunction Laser Level With Adjustment Tripod"/>
        <s v="Multifunctional Hanging Storage Box Storage Bag (4 Layers)"/>
        <s v="MultiFunctional Storage Rack Multi-layer Bookshelf"/>
        <s v="Multi-purpose Rice Drainage Basket And Fruit And Vegetable Drainage Sieve"/>
        <s v="Mythco 120COB Solar Wall Ligt With Motion Sensor And Remote Control 3 Modes"/>
        <s v="Office Chair Lumbar Back Support Spine Posture Correction Pillow Car Cushion"/>
        <s v="Outdoor Portable Water Bottle With Medicine Box - 600ML - Black"/>
        <s v="Peacock  Throw Pillow Cushion Case For Home Car"/>
        <s v="Pen Grips For Kids Pen Grip Posture Correction Tool For Kids"/>
        <s v="Pilates Cloth Bag Waterproof Durable High Capacity Purple"/>
        <s v="Portable Home Small Air Humidifier 3-Speed Fan - Green"/>
        <s v="Portable Mini Cordless Car Vacuum Cleaner - Blue"/>
        <s v="Portable Soap Dispenser Kitchen Detergent Press Box Kitchen Tools"/>
        <s v="Portable Wardrobe Nonwoven With 3 Hanging Rods And 6 Storage Shelves"/>
        <s v="Portable Wine Table With Folding Round Table"/>
        <s v="Punch-free Great Load Bearing Bathroom Storage Rack Wall Shelf-Whit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VIC Wireless Vacuum Cleaner Dual Use For Home And Car 120W High Power Powerful"/>
        <s v="Wall Clock With Hidden Safe Box"/>
        <s v="Wall Mount Automatic Toothpaste Dispenser Toothbrush Holder Toothpaste Squeezer"/>
        <s v="Wall-mounted Sticker Punch-free Plug Fixer"/>
        <s v="Wall-Mounted Toothbrush Toothpaste Holder With Multiple Slots"/>
        <s v="Watercolour Gold Foil Textured Print Pillow Cover"/>
        <s v="Weighing Scale Digital Bathroom Body Fat Scale USB-Black"/>
        <s v="Wrought Iron Bathroom Shelf Wall Mounted Free Punch Toilet Rack"/>
      </sharedItems>
    </cacheField>
    <cacheField name="[tblproducts].[Many Reviews &amp;Average Rating].[Many Reviews &amp;Average Rating]" caption="Many Reviews &amp;Average Rating" numFmtId="0" hierarchy="15" level="1">
      <sharedItems containsSemiMixedTypes="0" containsNonDate="0" containsString="0"/>
    </cacheField>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2" memberValueDatatype="130" unbalanced="0">
      <fieldsUsage count="2">
        <fieldUsage x="-1"/>
        <fieldUsage x="1"/>
      </fieldsUsage>
    </cacheHierarchy>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hidden="1">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51504861111" backgroundQuery="1" createdVersion="8" refreshedVersion="8" minRefreshableVersion="3" recordCount="0" supportSubquery="1" supportAdvancedDrill="1" xr:uid="{C9FF374D-D79E-4450-B148-05D3D97DDD3A}">
  <cacheSource type="external" connectionId="1"/>
  <cacheFields count="2">
    <cacheField name="[tblproducts].[Product].[Product]" caption="Product" numFmtId="0" level="1">
      <sharedItems count="5">
        <s v="Anti-Skid Absorbent Insulation Coaster  For Home Office"/>
        <s v="Bedroom Simple Floor Hanging Clothes Rack Single Pole Hat Rack - White"/>
        <s v="Classic Black Cat Cotton Hemp Pillow Case For Home Car"/>
        <s v="LASA Aluminum Folding Truck Hand Cart - 68kg Max"/>
        <s v="Wall-mounted Sticker Punch-free Plug Fixer"/>
      </sharedItems>
    </cacheField>
    <cacheField name="[tblproducts].[High Discount &amp;Low Engagement].[High Discount &amp;Low Engagement]" caption="High Discount &amp;Low Engagement" numFmtId="0" hierarchy="14" level="1">
      <sharedItems containsSemiMixedTypes="0" containsNonDate="0" containsString="0"/>
    </cacheField>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2" memberValueDatatype="130" unbalanced="0">
      <fieldsUsage count="2">
        <fieldUsage x="-1"/>
        <fieldUsage x="1"/>
      </fieldsUsage>
    </cacheHierarchy>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hidden="1">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42687962965" backgroundQuery="1" createdVersion="8" refreshedVersion="8" minRefreshableVersion="3" recordCount="0" supportSubquery="1" supportAdvancedDrill="1" xr:uid="{00A91C94-498E-4EF6-97E5-4F5C84D1D0F3}">
  <cacheSource type="external" connectionId="1"/>
  <cacheFields count="3">
    <cacheField name="[tblproducts].[Product].[Product]" caption="Product" numFmtId="0" level="1">
      <sharedItems count="5">
        <s v="5-PCS Stainless Steel Cooking Pot Set With Steamed Slices"/>
        <s v="7-piece Set Of Storage Bags, Travel Storage Bags, Shoe Bags"/>
        <s v="Artificial Potted Flowers Room Decorative Flowers (2 Pieces)"/>
        <s v="Electric LED UV Mosquito Killer Lamp, Outdoor/Indoor Fly Killer Trap Light -USB"/>
        <s v="Wall-mounted Sticker Punch-free Plug Fixer"/>
      </sharedItems>
    </cacheField>
    <cacheField name="[Measures].[Average of Ratings]" caption="Average of Ratings" numFmtId="0" hierarchy="20" level="32767"/>
    <cacheField name="[Measures].[Average of Review]" caption="Average of Review" numFmtId="0" hierarchy="22" level="32767"/>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45799421298" backgroundQuery="1" createdVersion="8" refreshedVersion="8" minRefreshableVersion="3" recordCount="0" supportSubquery="1" supportAdvancedDrill="1" xr:uid="{5EA2FBAB-8D5E-46C5-8E4F-6D1500AAC190}">
  <cacheSource type="external" connectionId="1"/>
  <cacheFields count="2">
    <cacheField name="[tblproducts].[Product].[Product]" caption="Product" numFmtId="0" level="1">
      <sharedItems count="5">
        <s v="120W Cordless Vacuum Cleaners Handheld Electric Vacuum Cleaner"/>
        <s v="380ML USB Rechargeable Portable Small Blenders And Juicers"/>
        <s v="5-PCS Stainless Steel Cooking Pot Set With Steamed Slices"/>
        <s v="Intelligent  LED Body Sensor Wireless Lighting Night Light USB"/>
        <s v="Wall-mounted Sticker Punch-free Plug Fixer"/>
      </sharedItems>
    </cacheField>
    <cacheField name="[tblproducts].[High Discount &amp;Low Rating].[High Discount &amp;Low Rating]" caption="High Discount &amp;Low Rating" numFmtId="0" hierarchy="13" level="1">
      <sharedItems containsSemiMixedTypes="0" containsNonDate="0" containsString="0"/>
    </cacheField>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2" memberValueDatatype="130" unbalanced="0">
      <fieldsUsage count="2">
        <fieldUsage x="-1"/>
        <fieldUsage x="1"/>
      </fieldsUsage>
    </cacheHierarchy>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hidden="1">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4309351852" backgroundQuery="1" createdVersion="8" refreshedVersion="8" minRefreshableVersion="3" recordCount="0" supportSubquery="1" supportAdvancedDrill="1" xr:uid="{2C0DE148-7FF9-4B48-8A7E-426A08F28114}">
  <cacheSource type="external" connectionId="1"/>
  <cacheFields count="3">
    <cacheField name="[tblproducts].[Product].[Product]" caption="Product" numFmtId="0" level="1">
      <sharedItems count="10">
        <s v="40cm Gold DIY Acrylic Wall Sticker Clock"/>
        <s v="Anti-Skid Absorbent Insulation Coaster  For Home Office"/>
        <s v="Bedroom Simple Floor Hanging Clothes Rack Single Pole Hat Rack - White"/>
        <s v="Classic Black Cat Cotton Hemp Pillow Case For Home Car"/>
        <s v="DIY File Folder, Office Drawer File Holder, Pen Holder, Desktop Storage Rack"/>
        <s v="Konka Healty Electric Kettle, 24-hour Heat Preservation,1.5L,800W, White"/>
        <s v="LASA Aluminum Folding Truck Hand Cart - 68kg Max"/>
        <s v="LASA FOLDING TABLE SERVING STAND"/>
        <s v="Peacock  Throw Pillow Cushion Case For Home Car"/>
        <s v="Portable Home Small Air Humidifier 3-Speed Fan - Green"/>
      </sharedItems>
    </cacheField>
    <cacheField name="[Measures].[Average of Ratings]" caption="Average of Ratings" numFmtId="0" hierarchy="20" level="32767"/>
    <cacheField name="[Measures].[Average of Review]" caption="Average of Review" numFmtId="0" hierarchy="22" level="32767"/>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28989120371" backgroundQuery="1" createdVersion="8" refreshedVersion="8" minRefreshableVersion="3" recordCount="0" supportSubquery="1" supportAdvancedDrill="1" xr:uid="{7F75942E-D849-4237-AB64-00960ED84B01}">
  <cacheSource type="external" connectionId="1"/>
  <cacheFields count="3">
    <cacheField name="[tblproducts].[Product].[Product]" caption="Product" numFmtId="0" level="1">
      <sharedItems count="10">
        <s v="100 Pcs Crochet Hook Tool Set Knitting Hook Set With Box"/>
        <s v="120W Cordless Vacuum Cleaners Handheld Electric Vacuum Cleaner"/>
        <s v="137 Pieces Cake Decorating Tool Set Baking Supplies"/>
        <s v="3D Waterproof EVA Plastic Shower Curtain 1.8*2Mtrs"/>
        <s v="52 Pieces Cake Decorating Tool Set Gift Kit Baking Supplies"/>
        <s v="53 Pieces/Set Yarn Knitting Crochet Hooks With Bag - Pansies"/>
        <s v="53Pcs/Set Yarn Knitting Crochet Hooks With Bag - Fortune Cat"/>
        <s v="Electronic Digital Display Vernier Caliper"/>
        <s v="Portable Mini Cordless Car Vacuum Cleaner - Blue"/>
        <s v="Punch-free Great Load Bearing Bathroom Storage Rack Wall Shelf-White"/>
      </sharedItems>
    </cacheField>
    <cacheField name="[Measures].[Average of Review]" caption="Average of Review" numFmtId="0" hierarchy="22" level="32767"/>
    <cacheField name="[Measures].[Average of Ratings]" caption="Average of Ratings" numFmtId="0" hierarchy="20" level="32767"/>
  </cacheFields>
  <cacheHierarchies count="26">
    <cacheHierarchy uniqueName="[tblproducts].[Product]" caption="Product" attribute="1" defaultMemberUniqueName="[tblproducts].[Product].[All]" allUniqueName="[tblproducts].[Product].[All]" dimensionUniqueName="[tblproducts]" displayFolder="" count="2" memberValueDatatype="130" unbalanced="0">
      <fieldsUsage count="2">
        <fieldUsage x="-1"/>
        <fieldUsage x="0"/>
      </fieldsUsage>
    </cacheHierarchy>
    <cacheHierarchy uniqueName="[tblproducts].[Current price]" caption="Current price" attribute="1" defaultMemberUniqueName="[tblproducts].[Current price].[All]" allUniqueName="[tblproducts].[Current price].[All]" dimensionUniqueName="[tblproducts]" displayFolder="" count="0" memberValueDatatype="20" unbalanced="0"/>
    <cacheHierarchy uniqueName="[tblproducts].[Old price]" caption="Old price" attribute="1" defaultMemberUniqueName="[tblproducts].[Old price].[All]" allUniqueName="[tblproducts].[Old price].[All]" dimensionUniqueName="[tblproducts]" displayFolder="" count="0" memberValueDatatype="20" unbalanced="0"/>
    <cacheHierarchy uniqueName="[tblproducts].[Discount]" caption="Discount" attribute="1" defaultMemberUniqueName="[tblproducts].[Discount].[All]" allUniqueName="[tblproducts].[Discount].[All]" dimensionUniqueName="[tblproducts]" displayFolder="" count="0" memberValueDatatype="5" unbalanced="0"/>
    <cacheHierarchy uniqueName="[tblproducts].[Calculated Discount]" caption="Calculated Discount" attribute="1" defaultMemberUniqueName="[tblproducts].[Calculated Discount].[All]" allUniqueName="[tblproducts].[Calculated Discount].[All]" dimensionUniqueName="[tblproducts]" displayFolder="" count="0" memberValueDatatype="5" unbalanced="0"/>
    <cacheHierarchy uniqueName="[tblproducts].[Review]" caption="Review" attribute="1" defaultMemberUniqueName="[tblproducts].[Review].[All]" allUniqueName="[tblproducts].[Review].[All]" dimensionUniqueName="[tblproducts]" displayFolder="" count="0" memberValueDatatype="20" unbalanced="0"/>
    <cacheHierarchy uniqueName="[tblproducts].[Ratings]" caption="Ratings" attribute="1" defaultMemberUniqueName="[tblproducts].[Ratings].[All]" allUniqueName="[tblproducts].[Ratings].[All]" dimensionUniqueName="[tblproducts]" displayFolder="" count="0" memberValueDatatype="5" unbalanced="0"/>
    <cacheHierarchy uniqueName="[tblproducts].[Check Rating]" caption="Check Rating" attribute="1" defaultMemberUniqueName="[tblproducts].[Check Rating].[All]" allUniqueName="[tblproducts].[Check Rating].[All]" dimensionUniqueName="[tblproducts]" displayFolder="" count="0" memberValueDatatype="130" unbalanced="0"/>
    <cacheHierarchy uniqueName="[tblproducts].[Check Discount]" caption="Check Discount" attribute="1" defaultMemberUniqueName="[tblproducts].[Check Discount].[All]" allUniqueName="[tblproducts].[Check Discount].[All]" dimensionUniqueName="[tblproducts]" displayFolder="" count="0" memberValueDatatype="130" unbalanced="0"/>
    <cacheHierarchy uniqueName="[tblproducts].[Check Prices]" caption="Check Prices" attribute="1" defaultMemberUniqueName="[tblproducts].[Check Prices].[All]" allUniqueName="[tblproducts].[Check Prices].[All]" dimensionUniqueName="[tblproducts]" displayFolder="" count="0" memberValueDatatype="130" unbalanced="0"/>
    <cacheHierarchy uniqueName="[tblproducts].[Rating Category]" caption="Rating Category" attribute="1" defaultMemberUniqueName="[tblproducts].[Rating Category].[All]" allUniqueName="[tblproducts].[Rating Category].[All]" dimensionUniqueName="[tblproducts]" displayFolder="" count="0" memberValueDatatype="130" unbalanced="0"/>
    <cacheHierarchy uniqueName="[tblproducts].[Discount Category]" caption="Discount Category" attribute="1" defaultMemberUniqueName="[tblproducts].[Discount Category].[All]" allUniqueName="[tblproducts].[Discount Category].[All]" dimensionUniqueName="[tblproducts]" displayFolder="" count="0" memberValueDatatype="130" unbalanced="0"/>
    <cacheHierarchy uniqueName="[tblproducts].[Price Category]" caption="Price Category" attribute="1" defaultMemberUniqueName="[tblproducts].[Price Category].[All]" allUniqueName="[tblproducts].[Price Category].[All]" dimensionUniqueName="[tblproducts]" displayFolder="" count="0" memberValueDatatype="130" unbalanced="0"/>
    <cacheHierarchy uniqueName="[tblproducts].[High Discount &amp;Low Rating]" caption="High Discount &amp;Low Rating" attribute="1" defaultMemberUniqueName="[tblproducts].[High Discount &amp;Low Rating].[All]" allUniqueName="[tblproducts].[High Discount &amp;Low Rating].[All]" dimensionUniqueName="[tblproducts]" displayFolder="" count="0" memberValueDatatype="130" unbalanced="0"/>
    <cacheHierarchy uniqueName="[tblproducts].[High Discount &amp;Low Engagement]" caption="High Discount &amp;Low Engagement" attribute="1" defaultMemberUniqueName="[tblproducts].[High Discount &amp;Low Engagement].[All]" allUniqueName="[tblproducts].[High Discount &amp;Low Engagement].[All]" dimensionUniqueName="[tblproducts]" displayFolder="" count="0" memberValueDatatype="130" unbalanced="0"/>
    <cacheHierarchy uniqueName="[tblproducts].[Many Reviews &amp;Average Rating]" caption="Many Reviews &amp;Average Rating" attribute="1" defaultMemberUniqueName="[tblproducts].[Many Reviews &amp;Average Rating].[All]" allUniqueName="[tblproducts].[Many Reviews &amp;Average Rating].[All]" dimensionUniqueName="[tblproducts]" displayFolder="" count="0" memberValueDatatype="130" unbalanced="0"/>
    <cacheHierarchy uniqueName="[tblproducts].[Strong Engagement&amp;Excellent Rating]" caption="Strong Engagement&amp;Excellent Rating" attribute="1" defaultMemberUniqueName="[tblproducts].[Strong Engagement&amp;Excellent Rating].[All]" allUniqueName="[tblproducts].[Strong Engagement&amp;Excellent Rating].[All]" dimensionUniqueName="[tblproducts]" displayFolder="" count="0" memberValueDatatype="130" unbalanced="0"/>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Ratings]" caption="Sum of Ratings" measure="1" displayFolder="" measureGroup="tblproducts"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tblproduct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Review]" caption="Sum of Review" measure="1" displayFolder="" measureGroup="tblproducts"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tblproduct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blproducts"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tblproducts"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blproduc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products" uniqueName="[tblproducts]" caption="tblproducts"/>
  </dimensions>
  <measureGroups count="1">
    <measureGroup name="tblproducts" caption="tbl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445"/>
    <n v="873"/>
    <n v="0.49"/>
    <n v="0.49026345933562426"/>
    <n v="69"/>
    <x v="0"/>
    <s v="Ok"/>
    <s v="Ok"/>
    <x v="0"/>
    <x v="0"/>
    <x v="0"/>
    <x v="0"/>
    <s v="Yes"/>
    <s v="No"/>
    <s v="No"/>
    <s v="No"/>
  </r>
  <r>
    <x v="1"/>
    <n v="2319"/>
    <n v="3032"/>
    <n v="0.24"/>
    <n v="0.23515831134564644"/>
    <n v="55"/>
    <x v="1"/>
    <s v="Ok"/>
    <s v="Ok"/>
    <x v="0"/>
    <x v="1"/>
    <x v="1"/>
    <x v="1"/>
    <s v="No"/>
    <s v="No"/>
    <s v="No"/>
    <s v="Yes"/>
  </r>
  <r>
    <x v="2"/>
    <n v="420"/>
    <n v="647"/>
    <n v="0.35"/>
    <n v="0.3508500772797527"/>
    <n v="49"/>
    <x v="1"/>
    <s v="Ok"/>
    <s v="Ok"/>
    <x v="0"/>
    <x v="1"/>
    <x v="1"/>
    <x v="0"/>
    <s v="No"/>
    <m/>
    <s v="No"/>
    <s v="Yes"/>
  </r>
  <r>
    <x v="3"/>
    <n v="998"/>
    <n v="1966"/>
    <n v="0.49"/>
    <n v="0.49237029501525942"/>
    <n v="44"/>
    <x v="1"/>
    <s v="Ok"/>
    <s v="Ok"/>
    <x v="0"/>
    <x v="1"/>
    <x v="0"/>
    <x v="2"/>
    <s v="No"/>
    <s v="No"/>
    <s v="No"/>
    <s v="Yes"/>
  </r>
  <r>
    <x v="4"/>
    <n v="990"/>
    <n v="1500"/>
    <n v="0.34"/>
    <n v="0.34"/>
    <n v="39"/>
    <x v="2"/>
    <s v="Ok"/>
    <s v="Ok"/>
    <x v="0"/>
    <x v="1"/>
    <x v="1"/>
    <x v="2"/>
    <s v="No"/>
    <s v="No"/>
    <s v="No"/>
    <s v="Yes"/>
  </r>
  <r>
    <x v="5"/>
    <n v="389"/>
    <n v="656"/>
    <n v="0.41"/>
    <n v="0.40701219512195119"/>
    <n v="36"/>
    <x v="3"/>
    <s v="Ok"/>
    <s v="Ok"/>
    <x v="0"/>
    <x v="2"/>
    <x v="0"/>
    <x v="0"/>
    <s v="No"/>
    <s v="No"/>
    <s v="No"/>
    <s v="Yes"/>
  </r>
  <r>
    <x v="6"/>
    <n v="1980"/>
    <n v="2699"/>
    <n v="0.27"/>
    <n v="0.26639496109670247"/>
    <n v="32"/>
    <x v="4"/>
    <s v="Ok"/>
    <s v="Ok"/>
    <x v="0"/>
    <x v="1"/>
    <x v="1"/>
    <x v="1"/>
    <s v="No"/>
    <s v="No"/>
    <s v="No"/>
    <s v="Yes"/>
  </r>
  <r>
    <x v="7"/>
    <n v="2199"/>
    <n v="2923"/>
    <n v="0.25"/>
    <n v="0.24769072870338693"/>
    <n v="24"/>
    <x v="1"/>
    <s v="Ok"/>
    <s v="Ok"/>
    <x v="0"/>
    <x v="1"/>
    <x v="1"/>
    <x v="1"/>
    <s v="No"/>
    <s v="No"/>
    <s v="No"/>
    <s v="Yes"/>
  </r>
  <r>
    <x v="8"/>
    <n v="1758"/>
    <n v="2499"/>
    <n v="0.3"/>
    <n v="0.2965186074429772"/>
    <n v="20"/>
    <x v="5"/>
    <s v="Ok"/>
    <s v="Ok"/>
    <x v="0"/>
    <x v="2"/>
    <x v="1"/>
    <x v="1"/>
    <s v="No"/>
    <s v="No"/>
    <s v="No"/>
    <s v="Yes"/>
  </r>
  <r>
    <x v="9"/>
    <n v="1940"/>
    <n v="2650"/>
    <n v="0.27"/>
    <n v="0.26792452830188679"/>
    <n v="20"/>
    <x v="2"/>
    <s v="Ok"/>
    <s v="Ok"/>
    <x v="0"/>
    <x v="1"/>
    <x v="1"/>
    <x v="1"/>
    <s v="No"/>
    <s v="No"/>
    <s v="No"/>
    <s v="Yes"/>
  </r>
  <r>
    <x v="10"/>
    <n v="382"/>
    <n v="700"/>
    <n v="0.45"/>
    <n v="0.45428571428571429"/>
    <n v="17"/>
    <x v="6"/>
    <s v="Ok"/>
    <s v="Ok"/>
    <x v="0"/>
    <x v="0"/>
    <x v="0"/>
    <x v="0"/>
    <s v="No"/>
    <s v="No"/>
    <s v="No"/>
    <s v="No"/>
  </r>
  <r>
    <x v="11"/>
    <n v="1220"/>
    <n v="1555"/>
    <n v="0.22"/>
    <n v="0.21543408360128619"/>
    <n v="16"/>
    <x v="7"/>
    <s v="Ok"/>
    <s v="Ok"/>
    <x v="0"/>
    <x v="0"/>
    <x v="1"/>
    <x v="2"/>
    <s v="No"/>
    <s v="No"/>
    <s v="No"/>
    <s v="No"/>
  </r>
  <r>
    <x v="12"/>
    <n v="325"/>
    <n v="680"/>
    <n v="0.52"/>
    <n v="0.5220588235294118"/>
    <n v="15"/>
    <x v="8"/>
    <s v="Ok"/>
    <s v="Ok"/>
    <x v="0"/>
    <x v="0"/>
    <x v="0"/>
    <x v="0"/>
    <s v="Yes"/>
    <s v="No"/>
    <s v="No"/>
    <s v="No"/>
  </r>
  <r>
    <x v="13"/>
    <n v="2999"/>
    <n v="3290"/>
    <n v="0.09"/>
    <n v="8.8449848024316116E-2"/>
    <n v="15"/>
    <x v="9"/>
    <s v="Ok"/>
    <s v="Ok"/>
    <x v="0"/>
    <x v="2"/>
    <x v="2"/>
    <x v="1"/>
    <s v="No"/>
    <s v="No"/>
    <s v="No"/>
    <s v="No"/>
  </r>
  <r>
    <x v="14"/>
    <n v="527"/>
    <n v="999"/>
    <n v="0.47"/>
    <n v="0.47247247247247248"/>
    <n v="14"/>
    <x v="5"/>
    <s v="Ok"/>
    <s v="Ok"/>
    <x v="0"/>
    <x v="2"/>
    <x v="0"/>
    <x v="2"/>
    <s v="No"/>
    <s v="No"/>
    <s v="No"/>
    <s v="No"/>
  </r>
  <r>
    <x v="15"/>
    <n v="1650"/>
    <n v="2150"/>
    <n v="0.23"/>
    <n v="0.23255813953488372"/>
    <n v="14"/>
    <x v="10"/>
    <s v="Ok"/>
    <s v="Ok"/>
    <x v="0"/>
    <x v="2"/>
    <x v="1"/>
    <x v="2"/>
    <s v="No"/>
    <s v="No"/>
    <s v="No"/>
    <s v="No"/>
  </r>
  <r>
    <x v="16"/>
    <n v="2115"/>
    <n v="4700"/>
    <n v="0.55000000000000004"/>
    <n v="0.55000000000000004"/>
    <n v="13"/>
    <x v="11"/>
    <s v="Ok"/>
    <s v="Ok"/>
    <x v="0"/>
    <x v="0"/>
    <x v="0"/>
    <x v="1"/>
    <s v="Yes"/>
    <s v="No"/>
    <s v="No"/>
    <s v="No"/>
  </r>
  <r>
    <x v="17"/>
    <n v="38"/>
    <n v="80"/>
    <n v="0.53"/>
    <n v="0.52500000000000002"/>
    <n v="13"/>
    <x v="12"/>
    <s v="Ok"/>
    <s v="Ok"/>
    <x v="0"/>
    <x v="2"/>
    <x v="0"/>
    <x v="0"/>
    <s v="No"/>
    <s v="No"/>
    <s v="No"/>
    <s v="No"/>
  </r>
  <r>
    <x v="18"/>
    <n v="1350"/>
    <n v="1990"/>
    <n v="0.32"/>
    <n v="0.32160804020100503"/>
    <n v="13"/>
    <x v="13"/>
    <s v="Ok"/>
    <s v="Ok"/>
    <x v="0"/>
    <x v="2"/>
    <x v="1"/>
    <x v="2"/>
    <s v="No"/>
    <s v="No"/>
    <s v="No"/>
    <s v="No"/>
  </r>
  <r>
    <x v="19"/>
    <n v="552"/>
    <n v="1035"/>
    <n v="0.47"/>
    <n v="0.46666666666666667"/>
    <n v="12"/>
    <x v="14"/>
    <s v="Ok"/>
    <s v="Ok"/>
    <x v="0"/>
    <x v="1"/>
    <x v="0"/>
    <x v="2"/>
    <s v="No"/>
    <s v="No"/>
    <s v="No"/>
    <s v="No"/>
  </r>
  <r>
    <x v="20"/>
    <n v="980"/>
    <n v="1490"/>
    <n v="0.34"/>
    <n v="0.34228187919463088"/>
    <n v="12"/>
    <x v="2"/>
    <s v="Ok"/>
    <s v="Ok"/>
    <x v="0"/>
    <x v="1"/>
    <x v="1"/>
    <x v="2"/>
    <s v="No"/>
    <s v="No"/>
    <s v="No"/>
    <s v="No"/>
  </r>
  <r>
    <x v="21"/>
    <n v="799"/>
    <n v="999"/>
    <n v="0.2"/>
    <n v="0.20020020020020021"/>
    <n v="12"/>
    <x v="5"/>
    <s v="Ok"/>
    <s v="Ok"/>
    <x v="0"/>
    <x v="2"/>
    <x v="1"/>
    <x v="2"/>
    <s v="No"/>
    <s v="No"/>
    <s v="No"/>
    <s v="No"/>
  </r>
  <r>
    <x v="22"/>
    <n v="2880"/>
    <n v="3520"/>
    <n v="0.18"/>
    <n v="0.18181818181818182"/>
    <n v="12"/>
    <x v="13"/>
    <s v="Ok"/>
    <s v="Ok"/>
    <x v="0"/>
    <x v="2"/>
    <x v="2"/>
    <x v="1"/>
    <s v="No"/>
    <s v="No"/>
    <s v="No"/>
    <s v="No"/>
  </r>
  <r>
    <x v="23"/>
    <n v="458"/>
    <n v="986"/>
    <n v="0.54"/>
    <n v="0.53549695740365111"/>
    <n v="10"/>
    <x v="15"/>
    <s v="Ok"/>
    <s v="Ok"/>
    <x v="0"/>
    <x v="2"/>
    <x v="0"/>
    <x v="0"/>
    <s v="No"/>
    <s v="No"/>
    <s v="No"/>
    <s v="No"/>
  </r>
  <r>
    <x v="24"/>
    <n v="185"/>
    <n v="382"/>
    <n v="0.52"/>
    <n v="0.51570680628272247"/>
    <n v="9"/>
    <x v="3"/>
    <s v="Ok"/>
    <s v="Ok"/>
    <x v="0"/>
    <x v="2"/>
    <x v="0"/>
    <x v="0"/>
    <s v="No"/>
    <s v="No"/>
    <s v="No"/>
    <s v="No"/>
  </r>
  <r>
    <x v="25"/>
    <n v="1820"/>
    <n v="3490"/>
    <n v="0.48"/>
    <n v="0.47851002865329512"/>
    <n v="9"/>
    <x v="3"/>
    <s v="Ok"/>
    <s v="Ok"/>
    <x v="0"/>
    <x v="2"/>
    <x v="0"/>
    <x v="1"/>
    <s v="No"/>
    <s v="No"/>
    <s v="No"/>
    <s v="No"/>
  </r>
  <r>
    <x v="26"/>
    <n v="1680"/>
    <n v="2499"/>
    <n v="0.33"/>
    <n v="0.32773109243697479"/>
    <n v="9"/>
    <x v="16"/>
    <s v="Ok"/>
    <s v="Ok"/>
    <x v="0"/>
    <x v="2"/>
    <x v="1"/>
    <x v="1"/>
    <s v="No"/>
    <s v="No"/>
    <s v="No"/>
    <s v="No"/>
  </r>
  <r>
    <x v="27"/>
    <n v="2048"/>
    <n v="4500"/>
    <n v="0.54"/>
    <n v="0.54488888888888887"/>
    <n v="7"/>
    <x v="3"/>
    <s v="Ok"/>
    <s v="Ok"/>
    <x v="0"/>
    <x v="2"/>
    <x v="0"/>
    <x v="1"/>
    <s v="No"/>
    <s v="No"/>
    <s v="No"/>
    <s v="No"/>
  </r>
  <r>
    <x v="28"/>
    <n v="1000"/>
    <n v="2000"/>
    <n v="0.5"/>
    <n v="0.5"/>
    <n v="7"/>
    <x v="17"/>
    <s v="Ok"/>
    <s v="Ok"/>
    <x v="0"/>
    <x v="0"/>
    <x v="0"/>
    <x v="2"/>
    <s v="Yes"/>
    <s v="No"/>
    <s v="No"/>
    <s v="No"/>
  </r>
  <r>
    <x v="29"/>
    <n v="1570"/>
    <n v="2988"/>
    <n v="0.47"/>
    <n v="0.4745649263721553"/>
    <n v="7"/>
    <x v="11"/>
    <s v="Ok"/>
    <s v="Ok"/>
    <x v="0"/>
    <x v="0"/>
    <x v="0"/>
    <x v="2"/>
    <s v="No"/>
    <s v="No"/>
    <s v="No"/>
    <s v="No"/>
  </r>
  <r>
    <x v="30"/>
    <n v="1580"/>
    <n v="2499"/>
    <n v="0.37"/>
    <n v="0.36774709883953582"/>
    <n v="7"/>
    <x v="2"/>
    <s v="Ok"/>
    <s v="Ok"/>
    <x v="0"/>
    <x v="1"/>
    <x v="1"/>
    <x v="2"/>
    <s v="No"/>
    <s v="No"/>
    <s v="No"/>
    <s v="No"/>
  </r>
  <r>
    <x v="31"/>
    <n v="968"/>
    <n v="1814"/>
    <n v="0.47"/>
    <n v="0.46637265711135611"/>
    <n v="6"/>
    <x v="18"/>
    <s v="Ok"/>
    <s v="Ok"/>
    <x v="0"/>
    <x v="0"/>
    <x v="0"/>
    <x v="2"/>
    <s v="No"/>
    <s v="No"/>
    <s v="No"/>
    <s v="No"/>
  </r>
  <r>
    <x v="32"/>
    <n v="990"/>
    <n v="1814"/>
    <n v="0.45"/>
    <n v="0.45424476295479604"/>
    <n v="6"/>
    <x v="18"/>
    <s v="Ok"/>
    <s v="Ok"/>
    <x v="0"/>
    <x v="0"/>
    <x v="0"/>
    <x v="2"/>
    <s v="No"/>
    <s v="No"/>
    <s v="No"/>
    <s v="No"/>
  </r>
  <r>
    <x v="33"/>
    <n v="345"/>
    <n v="602"/>
    <n v="0.43"/>
    <n v="0.42691029900332228"/>
    <n v="6"/>
    <x v="17"/>
    <s v="Ok"/>
    <s v="Ok"/>
    <x v="0"/>
    <x v="0"/>
    <x v="0"/>
    <x v="0"/>
    <s v="No"/>
    <s v="No"/>
    <s v="No"/>
    <s v="No"/>
  </r>
  <r>
    <x v="34"/>
    <n v="501"/>
    <n v="860"/>
    <n v="0.42"/>
    <n v="0.41744186046511628"/>
    <n v="6"/>
    <x v="4"/>
    <s v="Ok"/>
    <s v="Ok"/>
    <x v="0"/>
    <x v="1"/>
    <x v="0"/>
    <x v="2"/>
    <s v="No"/>
    <s v="No"/>
    <s v="No"/>
    <s v="No"/>
  </r>
  <r>
    <x v="35"/>
    <n v="880"/>
    <n v="1350"/>
    <n v="0.35"/>
    <n v="0.34814814814814815"/>
    <n v="6"/>
    <x v="9"/>
    <s v="Ok"/>
    <s v="Ok"/>
    <x v="0"/>
    <x v="2"/>
    <x v="1"/>
    <x v="2"/>
    <s v="No"/>
    <s v="No"/>
    <s v="No"/>
    <s v="No"/>
  </r>
  <r>
    <x v="36"/>
    <n v="2170"/>
    <n v="2500"/>
    <n v="0.13"/>
    <n v="0.13200000000000001"/>
    <n v="6"/>
    <x v="19"/>
    <s v="Ok"/>
    <s v="Ok"/>
    <x v="0"/>
    <x v="0"/>
    <x v="2"/>
    <x v="1"/>
    <s v="No"/>
    <s v="No"/>
    <s v="No"/>
    <s v="No"/>
  </r>
  <r>
    <x v="37"/>
    <n v="1274"/>
    <n v="2800"/>
    <n v="0.55000000000000004"/>
    <n v="0.54500000000000004"/>
    <n v="5"/>
    <x v="14"/>
    <s v="Ok"/>
    <s v="Ok"/>
    <x v="0"/>
    <x v="1"/>
    <x v="0"/>
    <x v="2"/>
    <s v="No"/>
    <s v="No"/>
    <s v="No"/>
    <s v="No"/>
  </r>
  <r>
    <x v="38"/>
    <n v="1600"/>
    <n v="2929"/>
    <n v="0.45"/>
    <n v="0.45373847729600547"/>
    <n v="5"/>
    <x v="13"/>
    <s v="Ok"/>
    <s v="Ok"/>
    <x v="0"/>
    <x v="2"/>
    <x v="0"/>
    <x v="2"/>
    <s v="No"/>
    <s v="No"/>
    <s v="No"/>
    <s v="No"/>
  </r>
  <r>
    <x v="39"/>
    <n v="509"/>
    <n v="899"/>
    <n v="0.43"/>
    <n v="0.43381535038932145"/>
    <n v="5"/>
    <x v="15"/>
    <s v="Ok"/>
    <s v="Ok"/>
    <x v="0"/>
    <x v="2"/>
    <x v="0"/>
    <x v="2"/>
    <s v="No"/>
    <s v="No"/>
    <s v="No"/>
    <s v="No"/>
  </r>
  <r>
    <x v="40"/>
    <n v="3750"/>
    <n v="6143"/>
    <n v="0.39"/>
    <n v="0.38954908025394758"/>
    <n v="5"/>
    <x v="15"/>
    <s v="Ok"/>
    <s v="Ok"/>
    <x v="0"/>
    <x v="2"/>
    <x v="1"/>
    <x v="1"/>
    <s v="No"/>
    <s v="No"/>
    <s v="No"/>
    <s v="No"/>
  </r>
  <r>
    <x v="41"/>
    <n v="2300"/>
    <n v="3240"/>
    <n v="0.28999999999999998"/>
    <n v="0.29012345679012347"/>
    <n v="5"/>
    <x v="15"/>
    <s v="Ok"/>
    <s v="Ok"/>
    <x v="0"/>
    <x v="2"/>
    <x v="1"/>
    <x v="1"/>
    <s v="No"/>
    <s v="No"/>
    <s v="No"/>
    <s v="No"/>
  </r>
  <r>
    <x v="42"/>
    <n v="1740"/>
    <n v="2356"/>
    <n v="0.26"/>
    <n v="0.26146010186757218"/>
    <n v="5"/>
    <x v="14"/>
    <s v="Ok"/>
    <s v="Ok"/>
    <x v="0"/>
    <x v="1"/>
    <x v="1"/>
    <x v="1"/>
    <s v="No"/>
    <s v="No"/>
    <s v="No"/>
    <s v="No"/>
  </r>
  <r>
    <x v="43"/>
    <n v="2999"/>
    <n v="3699"/>
    <n v="0.19"/>
    <n v="0.18924033522573669"/>
    <n v="5"/>
    <x v="1"/>
    <s v="Ok"/>
    <s v="Ok"/>
    <x v="0"/>
    <x v="1"/>
    <x v="2"/>
    <x v="1"/>
    <s v="No"/>
    <s v="No"/>
    <s v="No"/>
    <s v="No"/>
  </r>
  <r>
    <x v="44"/>
    <n v="2025"/>
    <n v="3971"/>
    <n v="0.49"/>
    <n v="0.49005288340468395"/>
    <n v="3"/>
    <x v="20"/>
    <s v="Ok"/>
    <s v="Ok"/>
    <x v="0"/>
    <x v="1"/>
    <x v="0"/>
    <x v="1"/>
    <s v="No"/>
    <s v="Yes"/>
    <s v="No"/>
    <s v="No"/>
  </r>
  <r>
    <x v="45"/>
    <n v="171"/>
    <n v="360"/>
    <n v="0.53"/>
    <n v="0.52500000000000002"/>
    <n v="2"/>
    <x v="20"/>
    <s v="Ok"/>
    <s v="Ok"/>
    <x v="0"/>
    <x v="1"/>
    <x v="0"/>
    <x v="0"/>
    <s v="No"/>
    <s v="Yes"/>
    <s v="No"/>
    <s v="No"/>
  </r>
  <r>
    <x v="46"/>
    <n v="332"/>
    <n v="684"/>
    <n v="0.51"/>
    <n v="0.51461988304093564"/>
    <n v="2"/>
    <x v="20"/>
    <s v="Ok"/>
    <s v="Ok"/>
    <x v="0"/>
    <x v="1"/>
    <x v="0"/>
    <x v="0"/>
    <s v="No"/>
    <s v="Yes"/>
    <s v="No"/>
    <s v="No"/>
  </r>
  <r>
    <x v="47"/>
    <n v="195"/>
    <n v="360"/>
    <n v="0.46"/>
    <n v="0.45833333333333331"/>
    <n v="2"/>
    <x v="20"/>
    <s v="Ok"/>
    <s v="Ok"/>
    <x v="0"/>
    <x v="1"/>
    <x v="0"/>
    <x v="0"/>
    <s v="No"/>
    <s v="No"/>
    <s v="No"/>
    <s v="No"/>
  </r>
  <r>
    <x v="48"/>
    <n v="950"/>
    <n v="1525"/>
    <n v="0.38"/>
    <n v="0.37704918032786883"/>
    <n v="2"/>
    <x v="4"/>
    <s v="Ok"/>
    <s v="Ok"/>
    <x v="0"/>
    <x v="1"/>
    <x v="1"/>
    <x v="2"/>
    <s v="No"/>
    <s v="No"/>
    <s v="No"/>
    <s v="No"/>
  </r>
  <r>
    <x v="49"/>
    <n v="1800"/>
    <n v="2700"/>
    <n v="0.38"/>
    <n v="0.33333333333333331"/>
    <n v="2"/>
    <x v="4"/>
    <s v="Ok"/>
    <s v="Ok"/>
    <x v="0"/>
    <x v="1"/>
    <x v="1"/>
    <x v="1"/>
    <s v="No"/>
    <s v="No"/>
    <s v="No"/>
    <s v="No"/>
  </r>
  <r>
    <x v="50"/>
    <n v="988"/>
    <n v="1580"/>
    <n v="0.37"/>
    <n v="0.37468354430379747"/>
    <n v="2"/>
    <x v="9"/>
    <s v="Ok"/>
    <s v="Ok"/>
    <x v="0"/>
    <x v="2"/>
    <x v="1"/>
    <x v="2"/>
    <s v="No"/>
    <s v="No"/>
    <s v="No"/>
    <s v="No"/>
  </r>
  <r>
    <x v="51"/>
    <n v="450"/>
    <n v="900"/>
    <n v="0.5"/>
    <n v="0.5"/>
    <n v="1"/>
    <x v="21"/>
    <s v="Ok"/>
    <s v="Ok"/>
    <x v="0"/>
    <x v="0"/>
    <x v="0"/>
    <x v="0"/>
    <s v="Yes"/>
    <s v="Yes"/>
    <s v="No"/>
    <s v="No"/>
  </r>
  <r>
    <x v="52"/>
    <n v="979"/>
    <n v="1920"/>
    <n v="0.49"/>
    <n v="0.49010416666666667"/>
    <n v="1"/>
    <x v="20"/>
    <s v="Ok"/>
    <s v="Ok"/>
    <x v="0"/>
    <x v="1"/>
    <x v="0"/>
    <x v="2"/>
    <s v="No"/>
    <s v="Yes"/>
    <s v="No"/>
    <s v="No"/>
  </r>
  <r>
    <x v="53"/>
    <n v="330"/>
    <n v="647"/>
    <n v="0.49"/>
    <n v="0.48995363214837712"/>
    <n v="1"/>
    <x v="9"/>
    <s v="Ok"/>
    <s v="Ok"/>
    <x v="0"/>
    <x v="2"/>
    <x v="0"/>
    <x v="0"/>
    <s v="No"/>
    <s v="No"/>
    <s v="No"/>
    <s v="No"/>
  </r>
  <r>
    <x v="54"/>
    <n v="1189"/>
    <n v="2199"/>
    <n v="0.46"/>
    <n v="0.45929968167348795"/>
    <n v="1"/>
    <x v="15"/>
    <s v="Ok"/>
    <s v="Ok"/>
    <x v="0"/>
    <x v="2"/>
    <x v="0"/>
    <x v="2"/>
    <s v="No"/>
    <s v="No"/>
    <s v="No"/>
    <s v="No"/>
  </r>
  <r>
    <x v="55"/>
    <n v="1620"/>
    <n v="2690"/>
    <n v="0.4"/>
    <n v="0.39776951672862454"/>
    <n v="1"/>
    <x v="20"/>
    <s v="Ok"/>
    <s v="Ok"/>
    <x v="0"/>
    <x v="1"/>
    <x v="1"/>
    <x v="2"/>
    <s v="No"/>
    <s v="No"/>
    <s v="No"/>
    <s v="No"/>
  </r>
  <r>
    <x v="56"/>
    <n v="3640"/>
    <n v="4588"/>
    <n v="0.21"/>
    <n v="0.20662598081952921"/>
    <n v="1"/>
    <x v="20"/>
    <s v="Ok"/>
    <s v="Ok"/>
    <x v="0"/>
    <x v="1"/>
    <x v="1"/>
    <x v="1"/>
    <s v="No"/>
    <s v="No"/>
    <s v="No"/>
    <s v="No"/>
  </r>
  <r>
    <x v="57"/>
    <n v="199"/>
    <n v="553"/>
    <n v="0.64"/>
    <n v="0.64014466546112114"/>
    <m/>
    <x v="22"/>
    <s v="Check Rating"/>
    <s v="Ok"/>
    <x v="0"/>
    <x v="3"/>
    <x v="0"/>
    <x v="0"/>
    <s v="No Rating"/>
    <s v="No Review"/>
    <s v="Not Provided"/>
    <s v="Not Provided"/>
  </r>
  <r>
    <x v="58"/>
    <n v="199"/>
    <n v="504"/>
    <n v="0.61"/>
    <n v="0.60515873015873012"/>
    <m/>
    <x v="22"/>
    <s v="Check Rating"/>
    <s v="Ok"/>
    <x v="0"/>
    <x v="3"/>
    <x v="0"/>
    <x v="0"/>
    <s v="No Rating"/>
    <s v="No Review"/>
    <s v="Not Provided"/>
    <s v="Not Provided"/>
  </r>
  <r>
    <x v="59"/>
    <n v="399"/>
    <n v="896"/>
    <n v="0.55000000000000004"/>
    <n v="0.5546875"/>
    <m/>
    <x v="22"/>
    <s v="Check Rating"/>
    <s v="Ok"/>
    <x v="0"/>
    <x v="3"/>
    <x v="0"/>
    <x v="0"/>
    <s v="No Rating"/>
    <s v="No Review"/>
    <s v="Not Provided"/>
    <s v="Not Provided"/>
  </r>
  <r>
    <x v="60"/>
    <n v="238"/>
    <n v="476"/>
    <n v="0.5"/>
    <n v="0.5"/>
    <m/>
    <x v="22"/>
    <s v="Check Rating"/>
    <s v="Ok"/>
    <x v="0"/>
    <x v="3"/>
    <x v="0"/>
    <x v="0"/>
    <s v="No Rating"/>
    <s v="No Review"/>
    <s v="Not Provided"/>
    <s v="Not Provided"/>
  </r>
  <r>
    <x v="61"/>
    <n v="999"/>
    <n v="2000"/>
    <n v="0.5"/>
    <n v="0.50049999999999994"/>
    <m/>
    <x v="22"/>
    <s v="Check Rating"/>
    <s v="Ok"/>
    <x v="0"/>
    <x v="3"/>
    <x v="0"/>
    <x v="2"/>
    <s v="No Rating"/>
    <s v="No Review"/>
    <s v="Not Provided"/>
    <s v="Not Provided"/>
  </r>
  <r>
    <x v="62"/>
    <n v="299"/>
    <n v="600"/>
    <n v="0.5"/>
    <n v="0.50166666666666671"/>
    <m/>
    <x v="22"/>
    <s v="Check Rating"/>
    <s v="Ok"/>
    <x v="0"/>
    <x v="3"/>
    <x v="0"/>
    <x v="0"/>
    <s v="No Rating"/>
    <s v="No Review"/>
    <s v="Not Provided"/>
    <s v="Not Provided"/>
  </r>
  <r>
    <x v="63"/>
    <n v="850"/>
    <n v="1700"/>
    <n v="0.5"/>
    <n v="0.5"/>
    <m/>
    <x v="22"/>
    <s v="Check Rating"/>
    <s v="Ok"/>
    <x v="0"/>
    <x v="3"/>
    <x v="0"/>
    <x v="2"/>
    <s v="No Rating"/>
    <s v="No Review"/>
    <s v="Not Provided"/>
    <s v="Not Provided"/>
  </r>
  <r>
    <x v="64"/>
    <n v="1200"/>
    <n v="2400"/>
    <n v="0.5"/>
    <n v="0.5"/>
    <m/>
    <x v="22"/>
    <s v="Check Rating"/>
    <s v="Ok"/>
    <x v="0"/>
    <x v="3"/>
    <x v="0"/>
    <x v="2"/>
    <s v="No Rating"/>
    <s v="No Review"/>
    <s v="Not Provided"/>
    <s v="Not Provided"/>
  </r>
  <r>
    <x v="65"/>
    <n v="475"/>
    <n v="931"/>
    <n v="0.49"/>
    <n v="0.48979591836734693"/>
    <m/>
    <x v="22"/>
    <s v="Check Rating"/>
    <s v="Ok"/>
    <x v="0"/>
    <x v="3"/>
    <x v="0"/>
    <x v="0"/>
    <s v="No Rating"/>
    <s v="No Review"/>
    <s v="Not Provided"/>
    <s v="Not Provided"/>
  </r>
  <r>
    <x v="66"/>
    <n v="671"/>
    <n v="1316"/>
    <n v="0.49"/>
    <n v="0.49012158054711247"/>
    <m/>
    <x v="22"/>
    <s v="Check Rating"/>
    <s v="Ok"/>
    <x v="0"/>
    <x v="3"/>
    <x v="0"/>
    <x v="2"/>
    <s v="No Rating"/>
    <s v="No Review"/>
    <s v="Not Provided"/>
    <s v="Not Provided"/>
  </r>
  <r>
    <x v="67"/>
    <n v="799"/>
    <n v="1567"/>
    <n v="0.49"/>
    <n v="0.49010848755583919"/>
    <m/>
    <x v="22"/>
    <s v="Check Rating"/>
    <s v="Ok"/>
    <x v="0"/>
    <x v="3"/>
    <x v="0"/>
    <x v="2"/>
    <s v="No Rating"/>
    <s v="No Review"/>
    <s v="Not Provided"/>
    <s v="Not Provided"/>
  </r>
  <r>
    <x v="68"/>
    <n v="230"/>
    <n v="450"/>
    <n v="0.49"/>
    <n v="0.48888888888888887"/>
    <m/>
    <x v="22"/>
    <s v="Check Rating"/>
    <s v="Ok"/>
    <x v="0"/>
    <x v="3"/>
    <x v="0"/>
    <x v="0"/>
    <s v="No Rating"/>
    <s v="No Review"/>
    <s v="Not Provided"/>
    <s v="Not Provided"/>
  </r>
  <r>
    <x v="58"/>
    <n v="176"/>
    <n v="345"/>
    <n v="0.49"/>
    <n v="0.48985507246376814"/>
    <m/>
    <x v="22"/>
    <s v="Check Rating"/>
    <s v="Ok"/>
    <x v="0"/>
    <x v="3"/>
    <x v="0"/>
    <x v="0"/>
    <s v="No Rating"/>
    <s v="No Review"/>
    <s v="Not Provided"/>
    <s v="Not Provided"/>
  </r>
  <r>
    <x v="69"/>
    <n v="274"/>
    <n v="537"/>
    <n v="0.49"/>
    <n v="0.48975791433891991"/>
    <m/>
    <x v="22"/>
    <s v="Check Rating"/>
    <s v="Ok"/>
    <x v="0"/>
    <x v="3"/>
    <x v="0"/>
    <x v="0"/>
    <s v="No Rating"/>
    <s v="No Review"/>
    <s v="Not Provided"/>
    <s v="Not Provided"/>
  </r>
  <r>
    <x v="67"/>
    <n v="657"/>
    <n v="1288"/>
    <n v="0.49"/>
    <n v="0.48990683229813664"/>
    <m/>
    <x v="22"/>
    <s v="Check Rating"/>
    <s v="Ok"/>
    <x v="0"/>
    <x v="3"/>
    <x v="0"/>
    <x v="2"/>
    <s v="No Rating"/>
    <s v="No Review"/>
    <s v="Not Provided"/>
    <s v="Not Provided"/>
  </r>
  <r>
    <x v="70"/>
    <n v="248"/>
    <n v="486"/>
    <n v="0.49"/>
    <n v="0.48971193415637859"/>
    <m/>
    <x v="22"/>
    <s v="Check Rating"/>
    <s v="Ok"/>
    <x v="0"/>
    <x v="3"/>
    <x v="0"/>
    <x v="0"/>
    <s v="No Rating"/>
    <s v="No Review"/>
    <s v="Not Provided"/>
    <s v="Not Provided"/>
  </r>
  <r>
    <x v="71"/>
    <n v="525"/>
    <n v="1029"/>
    <n v="0.49"/>
    <n v="0.48979591836734693"/>
    <m/>
    <x v="22"/>
    <s v="Check Rating"/>
    <s v="Ok"/>
    <x v="0"/>
    <x v="3"/>
    <x v="0"/>
    <x v="2"/>
    <s v="No Rating"/>
    <s v="No Review"/>
    <s v="Not Provided"/>
    <s v="Not Provided"/>
  </r>
  <r>
    <x v="72"/>
    <n v="699"/>
    <n v="1343"/>
    <n v="0.48"/>
    <n v="0.47952345495160087"/>
    <m/>
    <x v="22"/>
    <s v="Check Rating"/>
    <s v="Ok"/>
    <x v="0"/>
    <x v="3"/>
    <x v="0"/>
    <x v="2"/>
    <s v="No Rating"/>
    <s v="No Review"/>
    <s v="Not Provided"/>
    <s v="Not Provided"/>
  </r>
  <r>
    <x v="73"/>
    <n v="1300"/>
    <n v="2500"/>
    <n v="0.48"/>
    <n v="0.48"/>
    <m/>
    <x v="22"/>
    <s v="Check Rating"/>
    <s v="Ok"/>
    <x v="0"/>
    <x v="3"/>
    <x v="0"/>
    <x v="2"/>
    <s v="No Rating"/>
    <s v="No Review"/>
    <s v="Not Provided"/>
    <s v="Not Provided"/>
  </r>
  <r>
    <x v="74"/>
    <n v="105"/>
    <n v="200"/>
    <n v="0.48"/>
    <n v="0.47499999999999998"/>
    <m/>
    <x v="22"/>
    <s v="Check Rating"/>
    <s v="Ok"/>
    <x v="0"/>
    <x v="3"/>
    <x v="0"/>
    <x v="0"/>
    <s v="No Rating"/>
    <s v="No Review"/>
    <s v="Not Provided"/>
    <s v="Not Provided"/>
  </r>
  <r>
    <x v="75"/>
    <n v="790"/>
    <n v="1485"/>
    <n v="0.47"/>
    <n v="0.46801346801346799"/>
    <m/>
    <x v="22"/>
    <s v="Check Rating"/>
    <s v="Ok"/>
    <x v="0"/>
    <x v="3"/>
    <x v="0"/>
    <x v="2"/>
    <s v="No Rating"/>
    <s v="No Review"/>
    <s v="Not Provided"/>
    <s v="Not Provided"/>
  </r>
  <r>
    <x v="76"/>
    <n v="899"/>
    <n v="1699"/>
    <n v="0.47"/>
    <n v="0.47086521483225424"/>
    <m/>
    <x v="22"/>
    <s v="Check Rating"/>
    <s v="Ok"/>
    <x v="0"/>
    <x v="3"/>
    <x v="0"/>
    <x v="2"/>
    <s v="No Rating"/>
    <s v="No Review"/>
    <s v="Not Provided"/>
    <s v="Not Provided"/>
  </r>
  <r>
    <x v="77"/>
    <n v="169"/>
    <n v="320"/>
    <n v="0.47"/>
    <n v="0.47187499999999999"/>
    <m/>
    <x v="22"/>
    <s v="Check Rating"/>
    <s v="Ok"/>
    <x v="0"/>
    <x v="3"/>
    <x v="0"/>
    <x v="0"/>
    <s v="No Rating"/>
    <s v="No Review"/>
    <s v="Not Provided"/>
    <s v="Not Provided"/>
  </r>
  <r>
    <x v="78"/>
    <n v="2200"/>
    <n v="4080"/>
    <n v="0.46"/>
    <n v="0.46078431372549017"/>
    <m/>
    <x v="22"/>
    <s v="Check Rating"/>
    <s v="Ok"/>
    <x v="0"/>
    <x v="3"/>
    <x v="0"/>
    <x v="1"/>
    <s v="No Rating"/>
    <s v="No Review"/>
    <s v="Not Provided"/>
    <s v="Not Provided"/>
  </r>
  <r>
    <x v="59"/>
    <n v="499"/>
    <n v="900"/>
    <n v="0.45"/>
    <n v="0.44555555555555554"/>
    <m/>
    <x v="22"/>
    <s v="Check Rating"/>
    <s v="Ok"/>
    <x v="0"/>
    <x v="3"/>
    <x v="0"/>
    <x v="2"/>
    <s v="No Rating"/>
    <s v="No Review"/>
    <s v="Not Provided"/>
    <s v="Not Provided"/>
  </r>
  <r>
    <x v="79"/>
    <n v="690"/>
    <n v="1200"/>
    <n v="0.43"/>
    <n v="0.42499999999999999"/>
    <m/>
    <x v="22"/>
    <s v="Check Rating"/>
    <s v="Ok"/>
    <x v="0"/>
    <x v="3"/>
    <x v="0"/>
    <x v="2"/>
    <s v="No Rating"/>
    <s v="No Review"/>
    <s v="Not Provided"/>
    <s v="Not Provided"/>
  </r>
  <r>
    <x v="80"/>
    <n v="630"/>
    <n v="1100"/>
    <n v="0.43"/>
    <n v="0.42727272727272725"/>
    <m/>
    <x v="22"/>
    <s v="Check Rating"/>
    <s v="Ok"/>
    <x v="0"/>
    <x v="3"/>
    <x v="0"/>
    <x v="2"/>
    <s v="No Rating"/>
    <s v="No Review"/>
    <s v="Not Provided"/>
    <s v="Not Provided"/>
  </r>
  <r>
    <x v="81"/>
    <n v="1860"/>
    <n v="3220"/>
    <n v="0.42"/>
    <n v="0.42236024844720499"/>
    <m/>
    <x v="22"/>
    <s v="Check Rating"/>
    <s v="Ok"/>
    <x v="0"/>
    <x v="3"/>
    <x v="0"/>
    <x v="1"/>
    <s v="No Rating"/>
    <s v="No Review"/>
    <s v="Not Provided"/>
    <s v="Not Provided"/>
  </r>
  <r>
    <x v="82"/>
    <n v="610"/>
    <n v="1060"/>
    <n v="0.42"/>
    <n v="0.42452830188679247"/>
    <m/>
    <x v="22"/>
    <s v="Check Rating"/>
    <s v="Ok"/>
    <x v="0"/>
    <x v="3"/>
    <x v="0"/>
    <x v="2"/>
    <s v="No Rating"/>
    <s v="No Review"/>
    <s v="Not Provided"/>
    <s v="Not Provided"/>
  </r>
  <r>
    <x v="83"/>
    <n v="1080"/>
    <n v="1874"/>
    <n v="0.42"/>
    <n v="0.42369263607257202"/>
    <m/>
    <x v="22"/>
    <s v="Check Rating"/>
    <s v="Ok"/>
    <x v="0"/>
    <x v="3"/>
    <x v="0"/>
    <x v="2"/>
    <s v="No Rating"/>
    <s v="No Review"/>
    <s v="Not Provided"/>
    <s v="Not Provided"/>
  </r>
  <r>
    <x v="84"/>
    <n v="799"/>
    <n v="1343"/>
    <n v="0.41"/>
    <n v="0.4050632911392405"/>
    <m/>
    <x v="22"/>
    <s v="Check Rating"/>
    <s v="Ok"/>
    <x v="0"/>
    <x v="3"/>
    <x v="0"/>
    <x v="2"/>
    <s v="No Rating"/>
    <s v="No Review"/>
    <s v="Not Provided"/>
    <s v="Not Provided"/>
  </r>
  <r>
    <x v="85"/>
    <n v="1420"/>
    <n v="2420"/>
    <n v="0.41"/>
    <n v="0.41322314049586778"/>
    <m/>
    <x v="22"/>
    <s v="Check Rating"/>
    <s v="Ok"/>
    <x v="0"/>
    <x v="3"/>
    <x v="0"/>
    <x v="2"/>
    <s v="No Rating"/>
    <s v="No Review"/>
    <s v="Not Provided"/>
    <s v="Not Provided"/>
  </r>
  <r>
    <x v="86"/>
    <n v="2750"/>
    <n v="4471"/>
    <n v="0.38"/>
    <n v="0.38492507269067322"/>
    <m/>
    <x v="22"/>
    <s v="Check Rating"/>
    <s v="Ok"/>
    <x v="0"/>
    <x v="3"/>
    <x v="1"/>
    <x v="1"/>
    <s v="No Rating"/>
    <s v="No Review"/>
    <s v="Not Provided"/>
    <s v="Not Provided"/>
  </r>
  <r>
    <x v="87"/>
    <n v="1200"/>
    <n v="1950"/>
    <n v="0.38"/>
    <n v="0.38461538461538464"/>
    <m/>
    <x v="22"/>
    <s v="Check Rating"/>
    <s v="Ok"/>
    <x v="0"/>
    <x v="3"/>
    <x v="1"/>
    <x v="2"/>
    <s v="No Rating"/>
    <s v="No Review"/>
    <s v="Not Provided"/>
    <s v="Not Provided"/>
  </r>
  <r>
    <x v="88"/>
    <n v="1460"/>
    <n v="2290"/>
    <n v="0.36"/>
    <n v="0.36244541484716158"/>
    <m/>
    <x v="22"/>
    <s v="Check Rating"/>
    <s v="Ok"/>
    <x v="0"/>
    <x v="3"/>
    <x v="1"/>
    <x v="2"/>
    <s v="No Rating"/>
    <s v="No Review"/>
    <s v="Not Provided"/>
    <s v="Not Provided"/>
  </r>
  <r>
    <x v="89"/>
    <n v="1150"/>
    <n v="1737"/>
    <n v="0.34"/>
    <n v="0.3379389752446747"/>
    <m/>
    <x v="22"/>
    <s v="Check Rating"/>
    <s v="Ok"/>
    <x v="0"/>
    <x v="3"/>
    <x v="1"/>
    <x v="2"/>
    <s v="No Rating"/>
    <s v="No Review"/>
    <s v="Not Provided"/>
    <s v="Not Provided"/>
  </r>
  <r>
    <x v="90"/>
    <n v="1190"/>
    <n v="1810"/>
    <n v="0.34"/>
    <n v="0.34254143646408841"/>
    <m/>
    <x v="22"/>
    <s v="Check Rating"/>
    <s v="Ok"/>
    <x v="0"/>
    <x v="3"/>
    <x v="1"/>
    <x v="2"/>
    <s v="No Rating"/>
    <s v="No Review"/>
    <s v="Not Provided"/>
    <s v="Not Provided"/>
  </r>
  <r>
    <x v="91"/>
    <n v="1190"/>
    <n v="1785"/>
    <n v="0.33"/>
    <n v="0.33333333333333331"/>
    <m/>
    <x v="22"/>
    <s v="Check Rating"/>
    <s v="Ok"/>
    <x v="0"/>
    <x v="3"/>
    <x v="1"/>
    <x v="2"/>
    <s v="No Rating"/>
    <s v="No Review"/>
    <s v="Not Provided"/>
    <s v="Not Provided"/>
  </r>
  <r>
    <x v="92"/>
    <n v="2799"/>
    <n v="3810"/>
    <n v="0.27"/>
    <n v="0.26535433070866143"/>
    <m/>
    <x v="22"/>
    <s v="Check Rating"/>
    <s v="Ok"/>
    <x v="0"/>
    <x v="3"/>
    <x v="1"/>
    <x v="1"/>
    <s v="No Rating"/>
    <s v="No Review"/>
    <s v="Not Provided"/>
    <s v="Not Provided"/>
  </r>
  <r>
    <x v="93"/>
    <n v="198"/>
    <n v="260"/>
    <n v="0.24"/>
    <n v="0.23846153846153847"/>
    <m/>
    <x v="22"/>
    <s v="Check Rating"/>
    <s v="Ok"/>
    <x v="0"/>
    <x v="3"/>
    <x v="1"/>
    <x v="0"/>
    <s v="No Rating"/>
    <s v="No Review"/>
    <s v="Not Provided"/>
    <s v="Not Provided"/>
  </r>
  <r>
    <x v="94"/>
    <n v="299"/>
    <n v="384"/>
    <n v="0.22"/>
    <n v="0.22135416666666666"/>
    <m/>
    <x v="22"/>
    <s v="Check Rating"/>
    <s v="Ok"/>
    <x v="0"/>
    <x v="3"/>
    <x v="1"/>
    <x v="0"/>
    <s v="No Rating"/>
    <s v="No Review"/>
    <s v="Not Provided"/>
    <s v="Not Provided"/>
  </r>
  <r>
    <x v="95"/>
    <n v="1466"/>
    <n v="1699"/>
    <n v="0.14000000000000001"/>
    <n v="0.13713949381989404"/>
    <m/>
    <x v="22"/>
    <s v="Check Rating"/>
    <s v="Ok"/>
    <x v="0"/>
    <x v="3"/>
    <x v="2"/>
    <x v="2"/>
    <s v="No Rating"/>
    <s v="No Review"/>
    <s v="Not Provided"/>
    <s v="Not Provided"/>
  </r>
  <r>
    <x v="96"/>
    <n v="1468"/>
    <n v="1699"/>
    <n v="0.14000000000000001"/>
    <n v="0.13596233078281342"/>
    <m/>
    <x v="22"/>
    <s v="Check Rating"/>
    <s v="Ok"/>
    <x v="0"/>
    <x v="3"/>
    <x v="2"/>
    <x v="2"/>
    <s v="No Rating"/>
    <s v="No Review"/>
    <s v="Not Provided"/>
    <s v="Not Provided"/>
  </r>
  <r>
    <x v="97"/>
    <n v="799"/>
    <n v="900"/>
    <n v="0.11"/>
    <n v="0.11222222222222222"/>
    <m/>
    <x v="22"/>
    <s v="Check Rating"/>
    <s v="Ok"/>
    <x v="0"/>
    <x v="3"/>
    <x v="2"/>
    <x v="2"/>
    <s v="No Rating"/>
    <s v="No Review"/>
    <s v="Not Provided"/>
    <s v="Not Provided"/>
  </r>
  <r>
    <x v="98"/>
    <n v="1526"/>
    <n v="1660"/>
    <n v="0.08"/>
    <n v="8.0722891566265054E-2"/>
    <m/>
    <x v="22"/>
    <s v="Check Rating"/>
    <s v="Ok"/>
    <x v="0"/>
    <x v="3"/>
    <x v="2"/>
    <x v="2"/>
    <s v="No Rating"/>
    <s v="No Review"/>
    <s v="Not Provided"/>
    <s v="Not Provided"/>
  </r>
  <r>
    <x v="99"/>
    <n v="1732"/>
    <n v="1799"/>
    <n v="0.04"/>
    <n v="3.7242912729294052E-2"/>
    <m/>
    <x v="22"/>
    <s v="Check Rating"/>
    <s v="Ok"/>
    <x v="0"/>
    <x v="3"/>
    <x v="2"/>
    <x v="1"/>
    <s v="No Rating"/>
    <s v="No Review"/>
    <s v="Not Provided"/>
    <s v="Not Provided"/>
  </r>
  <r>
    <x v="100"/>
    <n v="3546"/>
    <n v="3699"/>
    <n v="0.04"/>
    <n v="4.1362530413625302E-2"/>
    <m/>
    <x v="22"/>
    <s v="Check Rating"/>
    <s v="Ok"/>
    <x v="0"/>
    <x v="3"/>
    <x v="2"/>
    <x v="1"/>
    <s v="No Rating"/>
    <s v="No Review"/>
    <s v="Not Provided"/>
    <s v="Not Provided"/>
  </r>
  <r>
    <x v="101"/>
    <n v="1459"/>
    <n v="1499"/>
    <n v="0.03"/>
    <n v="2.6684456304202801E-2"/>
    <m/>
    <x v="22"/>
    <s v="Check Rating"/>
    <s v="Ok"/>
    <x v="0"/>
    <x v="3"/>
    <x v="2"/>
    <x v="2"/>
    <s v="No Rating"/>
    <s v="No Review"/>
    <s v="Not Provided"/>
    <s v="Not Provided"/>
  </r>
  <r>
    <x v="102"/>
    <n v="2132"/>
    <n v="2169"/>
    <n v="0.02"/>
    <n v="1.705855232826187E-2"/>
    <m/>
    <x v="22"/>
    <s v="Check Rating"/>
    <s v="Ok"/>
    <x v="0"/>
    <x v="3"/>
    <x v="2"/>
    <x v="1"/>
    <s v="No Rating"/>
    <s v="No Review"/>
    <s v="Not Provided"/>
    <s v="Not Provided"/>
  </r>
  <r>
    <x v="103"/>
    <n v="1660"/>
    <n v="1699"/>
    <n v="0.02"/>
    <n v="2.2954679223072396E-2"/>
    <m/>
    <x v="22"/>
    <s v="Check Rating"/>
    <s v="Ok"/>
    <x v="0"/>
    <x v="3"/>
    <x v="2"/>
    <x v="2"/>
    <s v="No Rating"/>
    <s v="No Review"/>
    <s v="Not Provided"/>
    <s v="Not Provided"/>
  </r>
  <r>
    <x v="104"/>
    <n v="1666"/>
    <n v="1699"/>
    <n v="0.02"/>
    <n v="1.9423190111830489E-2"/>
    <m/>
    <x v="22"/>
    <s v="Check Rating"/>
    <s v="Ok"/>
    <x v="0"/>
    <x v="3"/>
    <x v="2"/>
    <x v="2"/>
    <s v="No Rating"/>
    <s v="No Review"/>
    <s v="Not Provided"/>
    <s v="Not Provided"/>
  </r>
  <r>
    <x v="105"/>
    <n v="1462"/>
    <n v="1499"/>
    <n v="0.02"/>
    <n v="2.4683122081387593E-2"/>
    <m/>
    <x v="22"/>
    <s v="Check Rating"/>
    <s v="Ok"/>
    <x v="0"/>
    <x v="3"/>
    <x v="2"/>
    <x v="2"/>
    <s v="No Rating"/>
    <s v="No Review"/>
    <s v="Not Provided"/>
    <s v="Not Provided"/>
  </r>
  <r>
    <x v="106"/>
    <n v="1658"/>
    <n v="1699"/>
    <n v="0.02"/>
    <n v="2.4131842260153032E-2"/>
    <m/>
    <x v="22"/>
    <s v="Check Rating"/>
    <s v="Ok"/>
    <x v="0"/>
    <x v="3"/>
    <x v="2"/>
    <x v="2"/>
    <s v="No Rating"/>
    <s v="No Review"/>
    <s v="Not Provided"/>
    <s v="Not Provided"/>
  </r>
  <r>
    <x v="107"/>
    <n v="1768"/>
    <n v="1799"/>
    <n v="0.02"/>
    <n v="1.7231795441912175E-2"/>
    <m/>
    <x v="22"/>
    <s v="Check Rating"/>
    <s v="Ok"/>
    <x v="0"/>
    <x v="3"/>
    <x v="2"/>
    <x v="1"/>
    <s v="No Rating"/>
    <s v="No Review"/>
    <s v="Not Provided"/>
    <s v="Not Provided"/>
  </r>
  <r>
    <x v="108"/>
    <n v="1875"/>
    <n v="1899"/>
    <n v="0.01"/>
    <n v="1.2638230647709321E-2"/>
    <m/>
    <x v="22"/>
    <s v="Check Rating"/>
    <s v="Ok"/>
    <x v="0"/>
    <x v="3"/>
    <x v="2"/>
    <x v="1"/>
    <s v="No Rating"/>
    <s v="No Review"/>
    <s v="Not Provided"/>
    <s v="Not Provid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03A19-6F3E-42EF-B959-39CE74B219F7}" name="PivotTable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9" firstHeaderRow="1" firstDataRow="1" firstDataCol="1" rowPageCount="1" colPageCount="1"/>
  <pivotFields count="2">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0"/>
  </rowFields>
  <rowItems count="6">
    <i>
      <x/>
    </i>
    <i>
      <x v="1"/>
    </i>
    <i>
      <x v="2"/>
    </i>
    <i>
      <x v="3"/>
    </i>
    <i>
      <x v="4"/>
    </i>
    <i t="grand">
      <x/>
    </i>
  </rowItems>
  <pageFields count="1">
    <pageField fld="1" hier="13" name="[tblproducts].[High Discount &amp;Low Rating].&amp;[Yes]" cap="Yes"/>
  </page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products].[High Discount &amp;Low Rating].&amp;[Yes]"/>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A1290C-444E-468E-B684-8DA66C3A6D72}" name="PivotTable2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6:K47"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1"/>
    </i>
    <i>
      <x v="2"/>
    </i>
    <i>
      <x v="7"/>
    </i>
    <i>
      <x v="3"/>
    </i>
    <i>
      <x/>
    </i>
    <i>
      <x v="9"/>
    </i>
    <i>
      <x v="5"/>
    </i>
    <i>
      <x v="8"/>
    </i>
    <i>
      <x v="6"/>
    </i>
    <i>
      <x v="4"/>
    </i>
    <i t="grand">
      <x/>
    </i>
  </rowItems>
  <colFields count="1">
    <field x="-2"/>
  </colFields>
  <colItems count="2">
    <i>
      <x/>
    </i>
    <i i="1">
      <x v="1"/>
    </i>
  </colItems>
  <dataFields count="2">
    <dataField name="Average of Review" fld="1" subtotal="average" baseField="0" baseItem="0"/>
    <dataField name="Average of Ratings" fld="2" subtotal="average" baseField="0" baseItem="2"/>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caption="Average of Review"/>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1317A-2BA0-4F45-88C1-245FAED6CF12}"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K11" firstHeaderRow="0" firstDataRow="1" firstDataCol="1"/>
  <pivotFields count="17">
    <pivotField axis="axisRow" showAll="0" measureFilter="1" sortType="descending">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autoSortScope>
        <pivotArea dataOnly="0" outline="0" fieldPosition="0">
          <references count="1">
            <reference field="4294967294" count="1" selected="0">
              <x v="1"/>
            </reference>
          </references>
        </pivotArea>
      </autoSortScope>
    </pivotField>
    <pivotField numFmtId="165" showAll="0"/>
    <pivotField numFmtId="165" showAll="0"/>
    <pivotField numFmtId="9" showAll="0"/>
    <pivotField numFmtId="10" showAll="0"/>
    <pivotField dataField="1" showAll="0"/>
    <pivotField dataField="1" showAll="0">
      <items count="24">
        <item x="21"/>
        <item x="11"/>
        <item x="18"/>
        <item x="17"/>
        <item x="19"/>
        <item x="6"/>
        <item x="8"/>
        <item x="0"/>
        <item x="7"/>
        <item x="15"/>
        <item x="12"/>
        <item x="13"/>
        <item x="9"/>
        <item x="5"/>
        <item x="16"/>
        <item x="3"/>
        <item x="10"/>
        <item x="4"/>
        <item x="1"/>
        <item x="2"/>
        <item x="14"/>
        <item x="20"/>
        <item x="22"/>
        <item t="default"/>
      </items>
    </pivotField>
    <pivotField showAll="0"/>
    <pivotField showAll="0"/>
    <pivotField showAll="0"/>
    <pivotField showAll="0">
      <items count="5">
        <item x="2"/>
        <item x="1"/>
        <item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0"/>
  </rowFields>
  <rowItems count="8">
    <i>
      <x v="68"/>
    </i>
    <i>
      <x v="40"/>
    </i>
    <i>
      <x v="87"/>
    </i>
    <i>
      <x v="52"/>
    </i>
    <i>
      <x v="44"/>
    </i>
    <i>
      <x v="65"/>
    </i>
    <i>
      <x v="57"/>
    </i>
    <i t="grand">
      <x/>
    </i>
  </rowItems>
  <colFields count="1">
    <field x="-2"/>
  </colFields>
  <colItems count="2">
    <i>
      <x/>
    </i>
    <i i="1">
      <x v="1"/>
    </i>
  </colItems>
  <dataFields count="2">
    <dataField name="Average of Ratings" fld="6" subtotal="average" baseField="0" baseItem="87"/>
    <dataField name="Sum of Review" fld="5"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79AAC-DD2A-40C3-B272-A23ED18D0C1C}"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J3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1"/>
    </i>
    <i>
      <x v="4"/>
    </i>
    <i>
      <x v="7"/>
    </i>
    <i>
      <x v="9"/>
    </i>
    <i>
      <x v="3"/>
    </i>
    <i>
      <x/>
    </i>
    <i>
      <x v="5"/>
    </i>
    <i>
      <x v="6"/>
    </i>
    <i t="grand">
      <x/>
    </i>
  </rowItems>
  <colItems count="1">
    <i/>
  </colItems>
  <dataFields count="1">
    <dataField name="Average of Discount" fld="1"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D2CA6-BF84-4E83-8D91-D444186A817E}"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M19" firstHeaderRow="1" firstDataRow="1" firstDataCol="1" rowPageCount="1" colPageCount="1"/>
  <pivotFields count="2">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0"/>
  </rowFields>
  <rowItems count="6">
    <i>
      <x/>
    </i>
    <i>
      <x v="1"/>
    </i>
    <i>
      <x v="2"/>
    </i>
    <i>
      <x v="3"/>
    </i>
    <i>
      <x v="4"/>
    </i>
    <i t="grand">
      <x/>
    </i>
  </rowItems>
  <pageFields count="1">
    <pageField fld="1" hier="14" name="[tblproducts].[High Discount &amp;Low Engagement].&amp;[Yes]" cap="Yes"/>
  </page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products].[High Discount &amp;Low Engagemen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4A24D7-D965-4835-A039-248558F504B1}"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M132" firstHeaderRow="1" firstDataRow="1" firstDataCol="1" rowPageCount="1" colPageCount="1"/>
  <pivotFields count="2">
    <pivotField axis="axisRow" allDrilled="1"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Page" allDrilled="1" subtotalTop="0" showAll="0" dataSourceSort="1" defaultSubtotal="0" defaultAttributeDrillState="1"/>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pageFields count="1">
    <pageField fld="1" hier="15" name="[tblproducts].[Many Reviews &amp;Average Rating].[All]" cap="All"/>
  </page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CED9B8-C289-4FAC-A491-399B4CE128F9}"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K19" firstHeaderRow="0"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4"/>
    </i>
    <i>
      <x/>
    </i>
    <i>
      <x v="3"/>
    </i>
    <i>
      <x v="2"/>
    </i>
    <i>
      <x v="1"/>
    </i>
    <i t="grand">
      <x/>
    </i>
  </rowItems>
  <colFields count="1">
    <field x="-2"/>
  </colFields>
  <colItems count="2">
    <i>
      <x/>
    </i>
    <i i="1">
      <x v="1"/>
    </i>
  </colItems>
  <dataFields count="2">
    <dataField name="Average of Ratings" fld="1" subtotal="average" baseField="0" baseItem="2"/>
    <dataField name="Average of Review" fld="2"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caption="Average of Review"/>
    <pivotHierarchy dragToData="1"/>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top="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09F62B-6036-46C7-95BC-E6B377DAA0D2}" name="Pivo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0:K61"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i>
    <i>
      <x v="9"/>
    </i>
    <i>
      <x v="7"/>
    </i>
    <i>
      <x v="4"/>
    </i>
    <i>
      <x v="6"/>
    </i>
    <i>
      <x v="2"/>
    </i>
    <i>
      <x v="5"/>
    </i>
    <i>
      <x v="8"/>
    </i>
    <i>
      <x v="1"/>
    </i>
    <i>
      <x v="3"/>
    </i>
    <i t="grand">
      <x/>
    </i>
  </rowItems>
  <colFields count="1">
    <field x="-2"/>
  </colFields>
  <colItems count="2">
    <i>
      <x/>
    </i>
    <i i="1">
      <x v="1"/>
    </i>
  </colItems>
  <dataFields count="2">
    <dataField name="Average of Ratings" fld="1" subtotal="average" baseField="0" baseItem="0"/>
    <dataField name="Average of Review" fld="2" subtotal="average" baseField="0" baseItem="7"/>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caption="Average of Review"/>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xlsx!tblproduct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926AA-C500-4D5F-89B4-2997E04E881D}" name="Top10ProdByRat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K2:L13" firstHeaderRow="1" firstDataRow="1" firstDataCol="1"/>
  <pivotFields count="17">
    <pivotField axis="axisRow" showAll="0" measureFilter="1" sortType="descending">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9" showAll="0"/>
    <pivotField numFmtId="10" showAll="0"/>
    <pivotField showAll="0"/>
    <pivotField dataField="1" showAll="0"/>
    <pivotField showAll="0"/>
    <pivotField showAll="0"/>
    <pivotField showAll="0"/>
    <pivotField showAll="0">
      <items count="5">
        <item x="2"/>
        <item x="1"/>
        <item h="1"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s" fld="6"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2BA53B-A66A-493C-A76A-C0974C67305B}" name="Top10ProdByReview"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K18:L29" firstHeaderRow="1" firstDataRow="1" firstDataCol="1"/>
  <pivotFields count="17">
    <pivotField axis="axisRow" showAll="0" measureFilter="1" sortType="descending">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9" showAll="0"/>
    <pivotField numFmtId="10" showAll="0"/>
    <pivotField dataField="1" showAll="0"/>
    <pivotField showAll="0"/>
    <pivotField showAll="0"/>
    <pivotField showAll="0"/>
    <pivotField showAll="0"/>
    <pivotField showAll="0">
      <items count="5">
        <item x="2"/>
        <item x="1"/>
        <item h="1"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Average of Review" fld="5"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1A7254-A061-4182-A811-6E2D1E57293E}" name="Discount M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6" firstHeaderRow="1" firstDataRow="1" firstDataCol="1"/>
  <pivotFields count="17">
    <pivotField dataField="1" showAll="0">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pivotField>
    <pivotField numFmtId="165" showAll="0"/>
    <pivotField numFmtId="165" showAll="0"/>
    <pivotField numFmtId="9" showAll="0"/>
    <pivotField numFmtId="10" showAll="0"/>
    <pivotField showAll="0"/>
    <pivotField showAll="0"/>
    <pivotField showAll="0"/>
    <pivotField showAll="0"/>
    <pivotField showAll="0"/>
    <pivotField showAll="0">
      <items count="5">
        <item x="2"/>
        <item x="1"/>
        <item h="1" x="3"/>
        <item x="0"/>
        <item t="default"/>
      </items>
    </pivotField>
    <pivotField axis="axisRow"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2A205A-75DF-4017-8FC5-0AA9DA0ED75C}" name="Price Vs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8" firstHeaderRow="1" firstDataRow="1" firstDataCol="1"/>
  <pivotFields count="17">
    <pivotField showAll="0"/>
    <pivotField numFmtId="165" showAll="0"/>
    <pivotField numFmtId="165" showAll="0"/>
    <pivotField numFmtId="9" showAll="0"/>
    <pivotField numFmtId="10" showAll="0"/>
    <pivotField showAll="0"/>
    <pivotField dataField="1" showAll="0"/>
    <pivotField showAll="0"/>
    <pivotField showAll="0"/>
    <pivotField showAll="0"/>
    <pivotField showAll="0">
      <items count="5">
        <item x="2"/>
        <item x="1"/>
        <item h="1" x="3"/>
        <item x="0"/>
        <item t="default"/>
      </items>
    </pivotField>
    <pivotField showAll="0">
      <items count="4">
        <item x="0"/>
        <item x="2"/>
        <item x="1"/>
        <item t="default"/>
      </items>
    </pivotField>
    <pivotField axis="axisRow" showAll="0">
      <items count="4">
        <item x="1"/>
        <item x="0"/>
        <item x="2"/>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Average of Ratings" fld="6" subtotal="average" baseField="1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0044C5-0B21-43CD-B0E2-676A14C2B2BF}" name="Rating M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17">
    <pivotField dataField="1" showAll="0">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pivotField>
    <pivotField numFmtId="165" showAll="0"/>
    <pivotField numFmtId="165" showAll="0"/>
    <pivotField numFmtId="9" showAll="0"/>
    <pivotField numFmtId="10" showAll="0"/>
    <pivotField showAll="0"/>
    <pivotField showAll="0"/>
    <pivotField showAll="0"/>
    <pivotField showAll="0"/>
    <pivotField showAll="0"/>
    <pivotField axis="axisRow" showAll="0">
      <items count="5">
        <item x="2"/>
        <item x="1"/>
        <item h="1"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10"/>
  </rowFields>
  <rowItems count="4">
    <i>
      <x/>
    </i>
    <i>
      <x v="1"/>
    </i>
    <i>
      <x v="3"/>
    </i>
    <i t="grand">
      <x/>
    </i>
  </rowItems>
  <colItems count="1">
    <i/>
  </colItems>
  <dataFields count="1">
    <dataField name="Count of Product"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3"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 chart="10" format="9">
      <pivotArea type="data" outline="0" fieldPosition="0">
        <references count="2">
          <reference field="4294967294" count="1" selected="0">
            <x v="0"/>
          </reference>
          <reference field="10" count="1" selected="0">
            <x v="2"/>
          </reference>
        </references>
      </pivotArea>
    </chartFormat>
    <chartFormat chart="10" format="10">
      <pivotArea type="data" outline="0" fieldPosition="0">
        <references count="2">
          <reference field="4294967294" count="1" selected="0">
            <x v="0"/>
          </reference>
          <reference field="10" count="1" selected="0">
            <x v="3"/>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096EA3-5670-4F77-913F-330DC80CD8E9}" name="Top10ProdBy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3:L45" firstHeaderRow="1" firstDataRow="1" firstDataCol="1"/>
  <pivotFields count="17">
    <pivotField axis="axisRow" showAll="0" measureFilter="1" sortType="descending">
      <items count="110">
        <item x="49"/>
        <item x="4"/>
        <item x="48"/>
        <item x="18"/>
        <item x="20"/>
        <item x="0"/>
        <item x="92"/>
        <item x="38"/>
        <item x="1"/>
        <item x="93"/>
        <item x="104"/>
        <item x="13"/>
        <item x="108"/>
        <item x="64"/>
        <item x="87"/>
        <item x="75"/>
        <item x="40"/>
        <item x="28"/>
        <item x="3"/>
        <item x="79"/>
        <item x="17"/>
        <item x="70"/>
        <item x="19"/>
        <item x="65"/>
        <item x="81"/>
        <item x="36"/>
        <item x="8"/>
        <item x="6"/>
        <item x="9"/>
        <item x="88"/>
        <item x="16"/>
        <item x="57"/>
        <item x="76"/>
        <item x="91"/>
        <item x="68"/>
        <item x="31"/>
        <item x="83"/>
        <item x="85"/>
        <item x="10"/>
        <item x="67"/>
        <item x="46"/>
        <item x="32"/>
        <item x="71"/>
        <item x="82"/>
        <item x="52"/>
        <item x="77"/>
        <item x="62"/>
        <item x="66"/>
        <item x="69"/>
        <item x="90"/>
        <item x="61"/>
        <item x="72"/>
        <item x="45"/>
        <item x="58"/>
        <item x="99"/>
        <item x="84"/>
        <item x="50"/>
        <item x="55"/>
        <item x="29"/>
        <item x="2"/>
        <item x="24"/>
        <item x="15"/>
        <item x="21"/>
        <item x="53"/>
        <item x="12"/>
        <item x="56"/>
        <item x="41"/>
        <item x="27"/>
        <item x="44"/>
        <item x="34"/>
        <item x="37"/>
        <item x="86"/>
        <item x="25"/>
        <item x="35"/>
        <item x="89"/>
        <item x="43"/>
        <item x="54"/>
        <item x="14"/>
        <item x="100"/>
        <item x="60"/>
        <item x="26"/>
        <item x="80"/>
        <item x="78"/>
        <item x="101"/>
        <item x="23"/>
        <item x="95"/>
        <item x="97"/>
        <item x="47"/>
        <item x="103"/>
        <item x="94"/>
        <item x="42"/>
        <item x="7"/>
        <item x="105"/>
        <item x="22"/>
        <item x="73"/>
        <item x="5"/>
        <item x="74"/>
        <item x="102"/>
        <item x="106"/>
        <item x="59"/>
        <item x="107"/>
        <item x="11"/>
        <item x="63"/>
        <item x="98"/>
        <item x="51"/>
        <item x="96"/>
        <item x="33"/>
        <item x="30"/>
        <item x="39"/>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9" showAll="0"/>
    <pivotField numFmtId="10" showAll="0"/>
    <pivotField showAll="0"/>
    <pivotField showAll="0"/>
    <pivotField showAll="0"/>
    <pivotField showAll="0"/>
    <pivotField showAll="0"/>
    <pivotField showAll="0">
      <items count="5">
        <item x="2"/>
        <item x="1"/>
        <item h="1"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0"/>
  </rowFields>
  <rowItems count="12">
    <i>
      <x v="70"/>
    </i>
    <i>
      <x v="30"/>
    </i>
    <i>
      <x v="67"/>
    </i>
    <i>
      <x v="84"/>
    </i>
    <i>
      <x v="20"/>
    </i>
    <i>
      <x v="52"/>
    </i>
    <i>
      <x v="64"/>
    </i>
    <i>
      <x v="60"/>
    </i>
    <i>
      <x v="40"/>
    </i>
    <i>
      <x v="104"/>
    </i>
    <i>
      <x v="17"/>
    </i>
    <i t="grand">
      <x/>
    </i>
  </rowItems>
  <colItems count="1">
    <i/>
  </colItems>
  <dataFields count="1">
    <dataField name="Average of Discount" fld="3"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C84DBB-485D-4692-AAF1-1812F1DFC2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1:B45" firstHeaderRow="1" firstDataRow="1" firstDataCol="1"/>
  <pivotFields count="17">
    <pivotField showAll="0"/>
    <pivotField numFmtId="165" showAll="0"/>
    <pivotField numFmtId="165" showAll="0"/>
    <pivotField numFmtId="9" showAll="0"/>
    <pivotField numFmtId="10" showAll="0"/>
    <pivotField dataField="1"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s>
  <rowFields count="1">
    <field x="11"/>
  </rowFields>
  <rowItems count="4">
    <i>
      <x/>
    </i>
    <i>
      <x v="1"/>
    </i>
    <i>
      <x v="2"/>
    </i>
    <i t="grand">
      <x/>
    </i>
  </rowItems>
  <colItems count="1">
    <i/>
  </colItems>
  <dataFields count="1">
    <dataField name="Average of Review" fld="5" subtotal="average" baseField="11" baseItem="0"/>
  </dataFields>
  <chartFormats count="4">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B4E8816-F472-4DEF-8A7D-F3BD987671AA}" name="Ratings vs Revie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58" firstHeaderRow="1" firstDataRow="1" firstDataCol="1"/>
  <pivotFields count="17">
    <pivotField showAll="0"/>
    <pivotField numFmtId="165" showAll="0"/>
    <pivotField numFmtId="165" showAll="0"/>
    <pivotField numFmtId="9" showAll="0"/>
    <pivotField numFmtId="10" showAll="0"/>
    <pivotField dataField="1" showAll="0"/>
    <pivotField showAll="0"/>
    <pivotField showAll="0"/>
    <pivotField showAll="0"/>
    <pivotField showAll="0"/>
    <pivotField axis="axisRow" showAll="0">
      <items count="5">
        <item x="2"/>
        <item x="1"/>
        <item h="1" x="3"/>
        <item x="0"/>
        <item t="default"/>
      </items>
    </pivotField>
    <pivotField showAll="0">
      <items count="4">
        <item x="0"/>
        <item x="2"/>
        <item x="1"/>
        <item t="default"/>
      </items>
    </pivotField>
    <pivotField showAll="0">
      <items count="4">
        <item x="1"/>
        <item x="0"/>
        <item x="2"/>
        <item t="default"/>
      </items>
    </pivotField>
    <pivotField showAll="0"/>
    <pivotField showAll="0"/>
    <pivotField showAll="0"/>
    <pivotField showAll="0"/>
  </pivotFields>
  <rowFields count="1">
    <field x="10"/>
  </rowFields>
  <rowItems count="4">
    <i>
      <x/>
    </i>
    <i>
      <x v="1"/>
    </i>
    <i>
      <x v="3"/>
    </i>
    <i t="grand">
      <x/>
    </i>
  </rowItems>
  <colItems count="1">
    <i/>
  </colItems>
  <dataFields count="1">
    <dataField name="Average of Review" fld="5" subtotal="average" baseField="1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1441B7D-0030-4233-BFB9-CD93FF76FA80}" sourceName="Rating Category">
  <pivotTables>
    <pivotTable tabId="12" name="Rating Mix"/>
    <pivotTable tabId="12" name="Discount Mix"/>
    <pivotTable tabId="12" name="Price Vs Rating"/>
    <pivotTable tabId="12" name="Top10ProdByDiscount"/>
    <pivotTable tabId="12" name="Top10ProdByRati"/>
    <pivotTable tabId="12" name="Top10ProdByReview"/>
    <pivotTable tabId="12" name="Ratings vs Review"/>
  </pivotTables>
  <data>
    <tabular pivotCacheId="1218260259">
      <items count="4">
        <i x="2" s="1"/>
        <i x="1" s="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A1B7FBB8-4D5D-4958-90B3-9FE87B23CB5C}" sourceName="Discount Category">
  <pivotTables>
    <pivotTable tabId="12" name="Rating Mix"/>
    <pivotTable tabId="12" name="Discount Mix"/>
    <pivotTable tabId="12" name="Price Vs Rating"/>
    <pivotTable tabId="12" name="Top10ProdByDiscount"/>
    <pivotTable tabId="12" name="Top10ProdByRati"/>
    <pivotTable tabId="12" name="Top10ProdByReview"/>
    <pivotTable tabId="12" name="Ratings vs Review"/>
  </pivotTables>
  <data>
    <tabular pivotCacheId="12182602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8CBF32E7-DD0B-4F60-92C9-E43732E8CDFD}" sourceName="Price Category">
  <pivotTables>
    <pivotTable tabId="12" name="Rating Mix"/>
    <pivotTable tabId="12" name="Discount Mix"/>
    <pivotTable tabId="12" name="Price Vs Rating"/>
    <pivotTable tabId="12" name="Top10ProdByDiscount"/>
    <pivotTable tabId="12" name="Top10ProdByRati"/>
    <pivotTable tabId="12" name="Top10ProdByReview"/>
    <pivotTable tabId="12" name="Ratings vs Review"/>
  </pivotTables>
  <data>
    <tabular pivotCacheId="121826025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BA99670C-889E-4BEF-A897-FF32AB72289D}" cache="Slicer_Rating_Category" caption="Rating Category" rowHeight="257175"/>
  <slicer name="Discount Category" xr10:uid="{202F9D0B-F8F0-4C19-B040-909B9A93AA7C}" cache="Slicer_Discount_Category" caption="Discount Category" rowHeight="257175"/>
  <slicer name="Price Category" xr10:uid="{52B05E9A-D6A5-49B9-951F-BF48169D0208}" cache="Slicer_Price_Category" caption="Price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A273C-8741-4AD9-890F-0A2660703036}" name="tblproducts" displayName="tblproducts" ref="A1:Q113" totalsRowShown="0">
  <autoFilter ref="A1:Q113" xr:uid="{45CB5342-F659-4745-93A3-34B9C3257D87}">
    <filterColumn colId="14">
      <filters>
        <filter val="Yes"/>
      </filters>
    </filterColumn>
  </autoFilter>
  <sortState xmlns:xlrd2="http://schemas.microsoft.com/office/spreadsheetml/2017/richdata2" ref="A2:Q113">
    <sortCondition descending="1" ref="D1:D113"/>
  </sortState>
  <tableColumns count="17">
    <tableColumn id="1" xr3:uid="{37965F22-FCE1-42A0-A80C-A932B5A36771}" name="Product"/>
    <tableColumn id="2" xr3:uid="{4177BE44-FDED-4F59-9D30-978AE08E9620}" name="Current price" dataDxfId="14"/>
    <tableColumn id="3" xr3:uid="{1B9ED0E6-D50F-4741-9C1B-4483AB74B294}" name="Old price" dataDxfId="13"/>
    <tableColumn id="4" xr3:uid="{C9706C15-4844-4DF9-B0D5-A0BA8BBA3652}" name="Discount" dataDxfId="12"/>
    <tableColumn id="9" xr3:uid="{68B5724D-4180-4865-BD1D-A1A50442886A}" name="Calculated Discount" dataDxfId="11">
      <calculatedColumnFormula>(C2-B2)/C2</calculatedColumnFormula>
    </tableColumn>
    <tableColumn id="8" xr3:uid="{88190068-7A9A-417A-B0A5-007B0F86D0F6}" name="Review"/>
    <tableColumn id="6" xr3:uid="{72A4E55A-48B0-412C-92BD-553E75F73DE3}" name="Ratings" dataDxfId="10"/>
    <tableColumn id="10" xr3:uid="{70C52592-AC06-4B44-AC55-5476B15182D5}" name="Check Rating" dataDxfId="9">
      <calculatedColumnFormula>IF(OR(G2&lt;0,G2&gt;5,ISBLANK(G2)),"Check Rating","Ok")</calculatedColumnFormula>
    </tableColumn>
    <tableColumn id="11" xr3:uid="{0C737FD5-B5C6-49D9-AD3A-7F45D83A6BE4}" name="Check Discount" dataDxfId="8">
      <calculatedColumnFormula>IF(OR(E2&lt;0,E2&gt;100),"Discount ","Ok")</calculatedColumnFormula>
    </tableColumn>
    <tableColumn id="12" xr3:uid="{F70B055E-44F6-4875-BF02-7EA7EBF515B5}" name="Check Prices" dataDxfId="7">
      <calculatedColumnFormula>IF(OR(B2&gt;C2),"Check Prices","Ok")</calculatedColumnFormula>
    </tableColumn>
    <tableColumn id="13" xr3:uid="{E0270487-8894-4C06-AABC-3D8A015482C3}" name="Rating Category" dataDxfId="6">
      <calculatedColumnFormula>IF(ISBLANK(G2),"Missing",IF(G2&lt;3,"Poor",IF(G2&lt;4,"Average","Excellent")))</calculatedColumnFormula>
    </tableColumn>
    <tableColumn id="14" xr3:uid="{ADC97120-4918-4039-BD64-4F5500D66D6E}" name="Discount Category" dataDxfId="5">
      <calculatedColumnFormula>IF(E2&lt;20%,"Low Discount",IF(E2&lt;40%,"Medium Discount","High Discount"))</calculatedColumnFormula>
    </tableColumn>
    <tableColumn id="15" xr3:uid="{AE4F4B97-EF51-44C8-882D-9B51038C20BA}" name="Price Category" dataDxfId="4">
      <calculatedColumnFormula>IF(B2&lt;Price_Q1,"Low Price",IF(B2&lt;=Price_Q3,"Medium Price","High Price"))</calculatedColumnFormula>
    </tableColumn>
    <tableColumn id="5" xr3:uid="{9501A3C9-58A6-4CD9-A8B8-469BAE177180}" name="High Discount &amp;Low Rating" dataDxfId="3">
      <calculatedColumnFormula>IF(OR(ISBLANK(tblproducts[[#This Row],[Ratings]])),"No Rating",IF(AND(tblproducts[[#This Row],[Calculated Discount]]&gt; High_dis,tblproducts[[#This Row],[Ratings]]&lt;3),"Yes","No"))</calculatedColumnFormula>
    </tableColumn>
    <tableColumn id="7" xr3:uid="{BCA8F333-8533-4666-8F0D-52A670270505}" name="High Discount &amp;Low Engagement" dataDxfId="2">
      <calculatedColumnFormula>IF(OR(ISBLANK(tblproducts[[#This Row],[Review]])),"No Review",IF(AND(tblproducts[[#This Row],[Calculated Discount]] &gt;High_dis,tblproducts[[#This Row],[Review]]&lt; weak_engagem),"Yes","No"))</calculatedColumnFormula>
    </tableColumn>
    <tableColumn id="16" xr3:uid="{EBF94AA6-24D6-410D-9CC1-117B9CA324E5}" name="Many Reviews &amp;Average Rating" dataDxfId="1">
      <calculatedColumnFormula>IF(OR(ISBLANK(tblproducts[[#This Row],[Review]])),"Not Provided",IF(AND(tblproducts[[#This Row],[Review]]&gt;=str_engagement,tblproducts[[#This Row],[Ratings]]&gt;=3,tblproducts[[#This Row],[Ratings]]&lt;4),"Yes","No"))</calculatedColumnFormula>
    </tableColumn>
    <tableColumn id="17" xr3:uid="{F424484B-E25B-4783-9381-AFCA3505F88A}" name="Strong Engagement&amp;Excellent Rating" dataDxfId="0">
      <calculatedColumnFormula>IF(OR(ISBLANK(tblproducts[[#This Row],[Review]])),"Not Provided",IF(AND(tblproducts[[#This Row],[Review]]&gt;str_engagement,tblproducts[[#This Row],[Ratings]]&gt;=4),"Yes","No"))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D99E-C822-4403-B3D8-062DE1F3FA9B}">
  <dimension ref="A1:F116"/>
  <sheetViews>
    <sheetView topLeftCell="A31" workbookViewId="0">
      <selection activeCell="A17" sqref="A17"/>
    </sheetView>
  </sheetViews>
  <sheetFormatPr defaultRowHeight="15" x14ac:dyDescent="0.25"/>
  <cols>
    <col min="1" max="1" width="95" bestFit="1" customWidth="1"/>
  </cols>
  <sheetData>
    <row r="1" spans="1:6" x14ac:dyDescent="0.25">
      <c r="A1" t="s">
        <v>0</v>
      </c>
      <c r="B1" t="s">
        <v>1</v>
      </c>
      <c r="C1" t="s">
        <v>2</v>
      </c>
      <c r="D1" t="s">
        <v>3</v>
      </c>
      <c r="E1" t="s">
        <v>4</v>
      </c>
      <c r="F1" t="s">
        <v>5</v>
      </c>
    </row>
    <row r="2" spans="1:6" x14ac:dyDescent="0.25">
      <c r="A2" t="s">
        <v>194</v>
      </c>
      <c r="B2" t="s">
        <v>195</v>
      </c>
      <c r="C2" t="s">
        <v>196</v>
      </c>
      <c r="D2" s="1">
        <v>0.49</v>
      </c>
      <c r="E2">
        <v>-69</v>
      </c>
      <c r="F2" t="s">
        <v>197</v>
      </c>
    </row>
    <row r="3" spans="1:6" x14ac:dyDescent="0.25">
      <c r="A3" t="s">
        <v>30</v>
      </c>
      <c r="B3" t="s">
        <v>31</v>
      </c>
      <c r="C3" t="s">
        <v>32</v>
      </c>
      <c r="D3" s="1">
        <v>0.24</v>
      </c>
      <c r="E3">
        <v>-55</v>
      </c>
      <c r="F3" t="s">
        <v>17</v>
      </c>
    </row>
    <row r="4" spans="1:6" x14ac:dyDescent="0.25">
      <c r="A4" t="s">
        <v>89</v>
      </c>
      <c r="B4" t="s">
        <v>90</v>
      </c>
      <c r="C4" t="s">
        <v>91</v>
      </c>
      <c r="D4" s="1">
        <v>0.35</v>
      </c>
      <c r="E4">
        <v>-49</v>
      </c>
      <c r="F4" t="s">
        <v>17</v>
      </c>
    </row>
    <row r="5" spans="1:6" x14ac:dyDescent="0.25">
      <c r="A5" t="s">
        <v>68</v>
      </c>
      <c r="B5" t="s">
        <v>69</v>
      </c>
      <c r="C5" t="s">
        <v>70</v>
      </c>
      <c r="D5" s="1">
        <v>0.49</v>
      </c>
      <c r="E5">
        <v>-44</v>
      </c>
      <c r="F5" t="s">
        <v>17</v>
      </c>
    </row>
    <row r="6" spans="1:6" x14ac:dyDescent="0.25">
      <c r="A6" t="s">
        <v>44</v>
      </c>
      <c r="B6" t="s">
        <v>45</v>
      </c>
      <c r="C6" t="s">
        <v>46</v>
      </c>
      <c r="D6" s="1">
        <v>0.34</v>
      </c>
      <c r="E6">
        <v>-39</v>
      </c>
      <c r="F6" t="s">
        <v>21</v>
      </c>
    </row>
    <row r="7" spans="1:6" x14ac:dyDescent="0.25">
      <c r="A7" t="s">
        <v>122</v>
      </c>
      <c r="B7" t="s">
        <v>123</v>
      </c>
      <c r="C7" t="s">
        <v>124</v>
      </c>
      <c r="D7" s="1">
        <v>0.41</v>
      </c>
      <c r="E7">
        <v>-36</v>
      </c>
      <c r="F7" t="s">
        <v>88</v>
      </c>
    </row>
    <row r="8" spans="1:6" x14ac:dyDescent="0.25">
      <c r="A8" t="s">
        <v>114</v>
      </c>
      <c r="B8" t="s">
        <v>115</v>
      </c>
      <c r="C8" t="s">
        <v>116</v>
      </c>
      <c r="D8" s="1">
        <v>0.27</v>
      </c>
      <c r="E8">
        <v>-32</v>
      </c>
      <c r="F8" t="s">
        <v>9</v>
      </c>
    </row>
    <row r="9" spans="1:6" x14ac:dyDescent="0.25">
      <c r="A9" t="s">
        <v>14</v>
      </c>
      <c r="B9" t="s">
        <v>15</v>
      </c>
      <c r="C9" t="s">
        <v>16</v>
      </c>
      <c r="D9" s="1">
        <v>0.25</v>
      </c>
      <c r="E9">
        <v>-24</v>
      </c>
      <c r="F9" t="s">
        <v>17</v>
      </c>
    </row>
    <row r="10" spans="1:6" x14ac:dyDescent="0.25">
      <c r="A10" t="s">
        <v>97</v>
      </c>
      <c r="B10" t="s">
        <v>98</v>
      </c>
      <c r="C10" t="s">
        <v>20</v>
      </c>
      <c r="D10" s="1">
        <v>0.3</v>
      </c>
      <c r="E10">
        <v>-20</v>
      </c>
      <c r="F10" t="s">
        <v>13</v>
      </c>
    </row>
    <row r="11" spans="1:6" x14ac:dyDescent="0.25">
      <c r="A11" t="s">
        <v>111</v>
      </c>
      <c r="B11" t="s">
        <v>112</v>
      </c>
      <c r="C11" t="s">
        <v>113</v>
      </c>
      <c r="D11" s="1">
        <v>0.27</v>
      </c>
      <c r="E11">
        <v>-20</v>
      </c>
      <c r="F11" t="s">
        <v>21</v>
      </c>
    </row>
    <row r="12" spans="1:6" x14ac:dyDescent="0.25">
      <c r="A12" t="s">
        <v>215</v>
      </c>
      <c r="B12" t="s">
        <v>104</v>
      </c>
      <c r="C12" t="s">
        <v>216</v>
      </c>
      <c r="D12" s="1">
        <v>0.45</v>
      </c>
      <c r="E12">
        <v>-17</v>
      </c>
      <c r="F12" t="s">
        <v>217</v>
      </c>
    </row>
    <row r="13" spans="1:6" x14ac:dyDescent="0.25">
      <c r="A13" t="s">
        <v>202</v>
      </c>
      <c r="B13" t="s">
        <v>203</v>
      </c>
      <c r="C13" t="s">
        <v>204</v>
      </c>
      <c r="D13" s="1">
        <v>0.22</v>
      </c>
      <c r="E13">
        <v>-16</v>
      </c>
      <c r="F13" t="s">
        <v>205</v>
      </c>
    </row>
    <row r="14" spans="1:6" x14ac:dyDescent="0.25">
      <c r="A14" t="s">
        <v>26</v>
      </c>
      <c r="B14" t="s">
        <v>27</v>
      </c>
      <c r="C14" t="s">
        <v>28</v>
      </c>
      <c r="D14" s="1">
        <v>0.09</v>
      </c>
      <c r="E14">
        <v>-15</v>
      </c>
      <c r="F14" t="s">
        <v>29</v>
      </c>
    </row>
    <row r="15" spans="1:6" x14ac:dyDescent="0.25">
      <c r="A15" t="s">
        <v>198</v>
      </c>
      <c r="B15" t="s">
        <v>199</v>
      </c>
      <c r="C15" t="s">
        <v>200</v>
      </c>
      <c r="D15" s="1">
        <v>0.52</v>
      </c>
      <c r="E15">
        <v>-15</v>
      </c>
      <c r="F15" t="s">
        <v>201</v>
      </c>
    </row>
    <row r="16" spans="1:6" x14ac:dyDescent="0.25">
      <c r="A16" t="s">
        <v>10</v>
      </c>
      <c r="B16" t="s">
        <v>11</v>
      </c>
      <c r="C16" t="s">
        <v>12</v>
      </c>
      <c r="D16" s="1">
        <v>0.47</v>
      </c>
      <c r="E16">
        <v>-14</v>
      </c>
      <c r="F16" t="s">
        <v>13</v>
      </c>
    </row>
    <row r="17" spans="1:6" x14ac:dyDescent="0.25">
      <c r="A17" t="s">
        <v>81</v>
      </c>
      <c r="B17" t="s">
        <v>82</v>
      </c>
      <c r="C17" t="s">
        <v>83</v>
      </c>
      <c r="D17" s="1">
        <v>0.23</v>
      </c>
      <c r="E17">
        <v>-14</v>
      </c>
      <c r="F17" t="s">
        <v>84</v>
      </c>
    </row>
    <row r="18" spans="1:6" x14ac:dyDescent="0.25">
      <c r="A18" t="s">
        <v>71</v>
      </c>
      <c r="B18" t="s">
        <v>72</v>
      </c>
      <c r="C18" t="s">
        <v>73</v>
      </c>
      <c r="D18" s="1">
        <v>0.53</v>
      </c>
      <c r="E18">
        <v>-13</v>
      </c>
      <c r="F18" t="s">
        <v>74</v>
      </c>
    </row>
    <row r="19" spans="1:6" x14ac:dyDescent="0.25">
      <c r="A19" t="s">
        <v>95</v>
      </c>
      <c r="B19" t="s">
        <v>80</v>
      </c>
      <c r="C19" t="s">
        <v>96</v>
      </c>
      <c r="D19" s="1">
        <v>0.32</v>
      </c>
      <c r="E19">
        <v>-13</v>
      </c>
      <c r="F19" t="s">
        <v>41</v>
      </c>
    </row>
    <row r="20" spans="1:6" x14ac:dyDescent="0.25">
      <c r="A20" t="s">
        <v>190</v>
      </c>
      <c r="B20" t="s">
        <v>191</v>
      </c>
      <c r="C20" t="s">
        <v>192</v>
      </c>
      <c r="D20" s="1">
        <v>0.55000000000000004</v>
      </c>
      <c r="E20">
        <v>-13</v>
      </c>
      <c r="F20" t="s">
        <v>193</v>
      </c>
    </row>
    <row r="21" spans="1:6" x14ac:dyDescent="0.25">
      <c r="A21" t="s">
        <v>42</v>
      </c>
      <c r="B21" t="s">
        <v>43</v>
      </c>
      <c r="C21" t="s">
        <v>12</v>
      </c>
      <c r="D21" s="1">
        <v>0.2</v>
      </c>
      <c r="E21">
        <v>-12</v>
      </c>
      <c r="F21" t="s">
        <v>13</v>
      </c>
    </row>
    <row r="22" spans="1:6" x14ac:dyDescent="0.25">
      <c r="A22" t="s">
        <v>47</v>
      </c>
      <c r="B22" t="s">
        <v>48</v>
      </c>
      <c r="C22" t="s">
        <v>49</v>
      </c>
      <c r="D22" s="1">
        <v>0.47</v>
      </c>
      <c r="E22">
        <v>-12</v>
      </c>
      <c r="F22" t="s">
        <v>25</v>
      </c>
    </row>
    <row r="23" spans="1:6" x14ac:dyDescent="0.25">
      <c r="A23" t="s">
        <v>92</v>
      </c>
      <c r="B23" t="s">
        <v>93</v>
      </c>
      <c r="C23" t="s">
        <v>94</v>
      </c>
      <c r="D23" s="1">
        <v>0.18</v>
      </c>
      <c r="E23">
        <v>-12</v>
      </c>
      <c r="F23" t="s">
        <v>41</v>
      </c>
    </row>
    <row r="24" spans="1:6" x14ac:dyDescent="0.25">
      <c r="A24" t="s">
        <v>105</v>
      </c>
      <c r="B24" t="s">
        <v>106</v>
      </c>
      <c r="C24" t="s">
        <v>107</v>
      </c>
      <c r="D24" s="1">
        <v>0.34</v>
      </c>
      <c r="E24">
        <v>-12</v>
      </c>
      <c r="F24" t="s">
        <v>21</v>
      </c>
    </row>
    <row r="25" spans="1:6" x14ac:dyDescent="0.25">
      <c r="A25" t="s">
        <v>186</v>
      </c>
      <c r="B25" t="s">
        <v>187</v>
      </c>
      <c r="C25" t="s">
        <v>188</v>
      </c>
      <c r="D25" s="1">
        <v>0.54</v>
      </c>
      <c r="E25">
        <v>-10</v>
      </c>
      <c r="F25" t="s">
        <v>189</v>
      </c>
    </row>
    <row r="26" spans="1:6" x14ac:dyDescent="0.25">
      <c r="A26" t="s">
        <v>53</v>
      </c>
      <c r="B26" t="s">
        <v>54</v>
      </c>
      <c r="C26" t="s">
        <v>20</v>
      </c>
      <c r="D26" s="1">
        <v>0.33</v>
      </c>
      <c r="E26">
        <v>-9</v>
      </c>
      <c r="F26" t="s">
        <v>55</v>
      </c>
    </row>
    <row r="27" spans="1:6" x14ac:dyDescent="0.25">
      <c r="A27" t="s">
        <v>102</v>
      </c>
      <c r="B27" t="s">
        <v>103</v>
      </c>
      <c r="C27" t="s">
        <v>104</v>
      </c>
      <c r="D27" s="1">
        <v>0.52</v>
      </c>
      <c r="E27">
        <v>-9</v>
      </c>
      <c r="F27" t="s">
        <v>88</v>
      </c>
    </row>
    <row r="28" spans="1:6" x14ac:dyDescent="0.25">
      <c r="A28" t="s">
        <v>108</v>
      </c>
      <c r="B28" t="s">
        <v>109</v>
      </c>
      <c r="C28" t="s">
        <v>110</v>
      </c>
      <c r="D28" s="1">
        <v>0.48</v>
      </c>
      <c r="E28">
        <v>-9</v>
      </c>
      <c r="F28" t="s">
        <v>88</v>
      </c>
    </row>
    <row r="29" spans="1:6" x14ac:dyDescent="0.25">
      <c r="A29" t="s">
        <v>18</v>
      </c>
      <c r="B29" t="s">
        <v>19</v>
      </c>
      <c r="C29" t="s">
        <v>20</v>
      </c>
      <c r="D29" s="1">
        <v>0.37</v>
      </c>
      <c r="E29">
        <v>-7</v>
      </c>
      <c r="F29" t="s">
        <v>21</v>
      </c>
    </row>
    <row r="30" spans="1:6" x14ac:dyDescent="0.25">
      <c r="A30" t="s">
        <v>85</v>
      </c>
      <c r="B30" t="s">
        <v>86</v>
      </c>
      <c r="C30" t="s">
        <v>87</v>
      </c>
      <c r="D30" s="1">
        <v>0.54</v>
      </c>
      <c r="E30">
        <v>-7</v>
      </c>
      <c r="F30" t="s">
        <v>88</v>
      </c>
    </row>
    <row r="31" spans="1:6" x14ac:dyDescent="0.25">
      <c r="A31" t="s">
        <v>209</v>
      </c>
      <c r="B31" t="s">
        <v>210</v>
      </c>
      <c r="C31" t="s">
        <v>144</v>
      </c>
      <c r="D31" s="1">
        <v>0.5</v>
      </c>
      <c r="E31">
        <v>-7</v>
      </c>
      <c r="F31" t="s">
        <v>211</v>
      </c>
    </row>
    <row r="32" spans="1:6" x14ac:dyDescent="0.25">
      <c r="A32" t="s">
        <v>229</v>
      </c>
      <c r="B32" t="s">
        <v>230</v>
      </c>
      <c r="C32" t="s">
        <v>231</v>
      </c>
      <c r="D32" s="1">
        <v>0.47</v>
      </c>
      <c r="E32">
        <v>-7</v>
      </c>
      <c r="F32" t="s">
        <v>193</v>
      </c>
    </row>
    <row r="33" spans="1:6" x14ac:dyDescent="0.25">
      <c r="A33" t="s">
        <v>50</v>
      </c>
      <c r="B33" t="s">
        <v>51</v>
      </c>
      <c r="C33" t="s">
        <v>52</v>
      </c>
      <c r="D33" s="1">
        <v>0.42</v>
      </c>
      <c r="E33">
        <v>-6</v>
      </c>
      <c r="F33" t="s">
        <v>9</v>
      </c>
    </row>
    <row r="34" spans="1:6" x14ac:dyDescent="0.25">
      <c r="A34" t="s">
        <v>78</v>
      </c>
      <c r="B34" t="s">
        <v>79</v>
      </c>
      <c r="C34" t="s">
        <v>80</v>
      </c>
      <c r="D34" s="1">
        <v>0.35</v>
      </c>
      <c r="E34">
        <v>-6</v>
      </c>
      <c r="F34" t="s">
        <v>29</v>
      </c>
    </row>
    <row r="35" spans="1:6" x14ac:dyDescent="0.25">
      <c r="A35" t="s">
        <v>182</v>
      </c>
      <c r="B35" t="s">
        <v>183</v>
      </c>
      <c r="C35" t="s">
        <v>184</v>
      </c>
      <c r="D35" s="1">
        <v>0.13</v>
      </c>
      <c r="E35">
        <v>-6</v>
      </c>
      <c r="F35" t="s">
        <v>185</v>
      </c>
    </row>
    <row r="36" spans="1:6" x14ac:dyDescent="0.25">
      <c r="A36" t="s">
        <v>206</v>
      </c>
      <c r="B36" t="s">
        <v>45</v>
      </c>
      <c r="C36" t="s">
        <v>207</v>
      </c>
      <c r="D36" s="1">
        <v>0.45</v>
      </c>
      <c r="E36">
        <v>-6</v>
      </c>
      <c r="F36" t="s">
        <v>208</v>
      </c>
    </row>
    <row r="37" spans="1:6" x14ac:dyDescent="0.25">
      <c r="A37" t="s">
        <v>221</v>
      </c>
      <c r="B37" t="s">
        <v>222</v>
      </c>
      <c r="C37" t="s">
        <v>223</v>
      </c>
      <c r="D37" s="1">
        <v>0.43</v>
      </c>
      <c r="E37">
        <v>-6</v>
      </c>
      <c r="F37" t="s">
        <v>211</v>
      </c>
    </row>
    <row r="38" spans="1:6" x14ac:dyDescent="0.25">
      <c r="A38" t="s">
        <v>227</v>
      </c>
      <c r="B38" t="s">
        <v>228</v>
      </c>
      <c r="C38" t="s">
        <v>207</v>
      </c>
      <c r="D38" s="1">
        <v>0.47</v>
      </c>
      <c r="E38">
        <v>-6</v>
      </c>
      <c r="F38" t="s">
        <v>208</v>
      </c>
    </row>
    <row r="39" spans="1:6" x14ac:dyDescent="0.25">
      <c r="A39" t="s">
        <v>22</v>
      </c>
      <c r="B39" t="s">
        <v>23</v>
      </c>
      <c r="C39" t="s">
        <v>24</v>
      </c>
      <c r="D39" s="1">
        <v>0.26</v>
      </c>
      <c r="E39">
        <v>-5</v>
      </c>
      <c r="F39" t="s">
        <v>25</v>
      </c>
    </row>
    <row r="40" spans="1:6" x14ac:dyDescent="0.25">
      <c r="A40" t="s">
        <v>35</v>
      </c>
      <c r="B40" t="s">
        <v>36</v>
      </c>
      <c r="C40" t="s">
        <v>37</v>
      </c>
      <c r="D40" s="1">
        <v>0.55000000000000004</v>
      </c>
      <c r="E40">
        <v>-5</v>
      </c>
      <c r="F40" t="s">
        <v>25</v>
      </c>
    </row>
    <row r="41" spans="1:6" x14ac:dyDescent="0.25">
      <c r="A41" t="s">
        <v>38</v>
      </c>
      <c r="B41" t="s">
        <v>39</v>
      </c>
      <c r="C41" t="s">
        <v>40</v>
      </c>
      <c r="D41" s="1">
        <v>0.45</v>
      </c>
      <c r="E41">
        <v>-5</v>
      </c>
      <c r="F41" t="s">
        <v>41</v>
      </c>
    </row>
    <row r="42" spans="1:6" x14ac:dyDescent="0.25">
      <c r="A42" t="s">
        <v>66</v>
      </c>
      <c r="B42" t="s">
        <v>27</v>
      </c>
      <c r="C42" t="s">
        <v>67</v>
      </c>
      <c r="D42" s="1">
        <v>0.19</v>
      </c>
      <c r="E42">
        <v>-5</v>
      </c>
      <c r="F42" t="s">
        <v>17</v>
      </c>
    </row>
    <row r="43" spans="1:6" x14ac:dyDescent="0.25">
      <c r="A43" t="s">
        <v>212</v>
      </c>
      <c r="B43" t="s">
        <v>213</v>
      </c>
      <c r="C43" t="s">
        <v>214</v>
      </c>
      <c r="D43" s="1">
        <v>0.39</v>
      </c>
      <c r="E43">
        <v>-5</v>
      </c>
      <c r="F43" t="s">
        <v>189</v>
      </c>
    </row>
    <row r="44" spans="1:6" x14ac:dyDescent="0.25">
      <c r="A44" t="s">
        <v>218</v>
      </c>
      <c r="B44" t="s">
        <v>219</v>
      </c>
      <c r="C44" t="s">
        <v>220</v>
      </c>
      <c r="D44" s="1">
        <v>0.28999999999999998</v>
      </c>
      <c r="E44">
        <v>-5</v>
      </c>
      <c r="F44" t="s">
        <v>189</v>
      </c>
    </row>
    <row r="45" spans="1:6" x14ac:dyDescent="0.25">
      <c r="A45" t="s">
        <v>224</v>
      </c>
      <c r="B45" t="s">
        <v>225</v>
      </c>
      <c r="C45" t="s">
        <v>226</v>
      </c>
      <c r="D45" s="1">
        <v>0.43</v>
      </c>
      <c r="E45">
        <v>-5</v>
      </c>
      <c r="F45" t="s">
        <v>189</v>
      </c>
    </row>
    <row r="46" spans="1:6" x14ac:dyDescent="0.25">
      <c r="A46" t="s">
        <v>63</v>
      </c>
      <c r="B46" t="s">
        <v>64</v>
      </c>
      <c r="C46" t="s">
        <v>65</v>
      </c>
      <c r="D46" s="1">
        <v>0.49</v>
      </c>
      <c r="E46">
        <v>-3</v>
      </c>
      <c r="F46" t="s">
        <v>59</v>
      </c>
    </row>
    <row r="47" spans="1:6" x14ac:dyDescent="0.25">
      <c r="A47" t="s">
        <v>6</v>
      </c>
      <c r="B47" t="s">
        <v>7</v>
      </c>
      <c r="C47" t="s">
        <v>8</v>
      </c>
      <c r="D47" s="1">
        <v>0.38</v>
      </c>
      <c r="E47">
        <v>-2</v>
      </c>
      <c r="F47" t="s">
        <v>9</v>
      </c>
    </row>
    <row r="48" spans="1:6" x14ac:dyDescent="0.25">
      <c r="A48" t="s">
        <v>33</v>
      </c>
      <c r="B48" t="s">
        <v>34</v>
      </c>
      <c r="C48" t="s">
        <v>19</v>
      </c>
      <c r="D48" s="1">
        <v>0.37</v>
      </c>
      <c r="E48">
        <v>-2</v>
      </c>
      <c r="F48" t="s">
        <v>29</v>
      </c>
    </row>
    <row r="49" spans="1:6" x14ac:dyDescent="0.25">
      <c r="A49" t="s">
        <v>56</v>
      </c>
      <c r="B49" t="s">
        <v>57</v>
      </c>
      <c r="C49" t="s">
        <v>58</v>
      </c>
      <c r="D49" s="1">
        <v>0.51</v>
      </c>
      <c r="E49">
        <v>-2</v>
      </c>
      <c r="F49" t="s">
        <v>59</v>
      </c>
    </row>
    <row r="50" spans="1:6" x14ac:dyDescent="0.25">
      <c r="A50" t="s">
        <v>60</v>
      </c>
      <c r="B50" t="s">
        <v>61</v>
      </c>
      <c r="C50" t="s">
        <v>62</v>
      </c>
      <c r="D50" s="1">
        <v>0.46</v>
      </c>
      <c r="E50">
        <v>-2</v>
      </c>
      <c r="F50" t="s">
        <v>59</v>
      </c>
    </row>
    <row r="51" spans="1:6" x14ac:dyDescent="0.25">
      <c r="A51" t="s">
        <v>120</v>
      </c>
      <c r="B51" t="s">
        <v>121</v>
      </c>
      <c r="C51" t="s">
        <v>62</v>
      </c>
      <c r="D51" s="1">
        <v>0.53</v>
      </c>
      <c r="E51">
        <v>-2</v>
      </c>
      <c r="F51" t="s">
        <v>59</v>
      </c>
    </row>
    <row r="52" spans="1:6" x14ac:dyDescent="0.25">
      <c r="A52" t="s">
        <v>125</v>
      </c>
      <c r="B52" t="s">
        <v>126</v>
      </c>
      <c r="C52" t="s">
        <v>127</v>
      </c>
      <c r="D52" s="1">
        <v>0.38</v>
      </c>
      <c r="E52">
        <v>-2</v>
      </c>
      <c r="F52" t="s">
        <v>9</v>
      </c>
    </row>
    <row r="53" spans="1:6" x14ac:dyDescent="0.25">
      <c r="A53" t="s">
        <v>117</v>
      </c>
      <c r="B53" t="s">
        <v>118</v>
      </c>
      <c r="C53" t="s">
        <v>119</v>
      </c>
      <c r="D53" s="1">
        <v>0.4</v>
      </c>
      <c r="E53">
        <v>-1</v>
      </c>
      <c r="F53" t="s">
        <v>59</v>
      </c>
    </row>
    <row r="54" spans="1:6" x14ac:dyDescent="0.25">
      <c r="A54" t="s">
        <v>243</v>
      </c>
      <c r="B54" t="s">
        <v>244</v>
      </c>
      <c r="C54" t="s">
        <v>15</v>
      </c>
      <c r="D54" s="1">
        <v>0.46</v>
      </c>
      <c r="E54">
        <v>-1</v>
      </c>
      <c r="F54" t="s">
        <v>189</v>
      </c>
    </row>
    <row r="55" spans="1:6" x14ac:dyDescent="0.25">
      <c r="A55" t="s">
        <v>245</v>
      </c>
      <c r="B55" t="s">
        <v>246</v>
      </c>
      <c r="C55" t="s">
        <v>247</v>
      </c>
      <c r="D55" s="1">
        <v>0.49</v>
      </c>
      <c r="E55">
        <v>-1</v>
      </c>
      <c r="F55" t="s">
        <v>59</v>
      </c>
    </row>
    <row r="56" spans="1:6" x14ac:dyDescent="0.25">
      <c r="A56" t="s">
        <v>253</v>
      </c>
      <c r="B56" t="s">
        <v>254</v>
      </c>
      <c r="C56" t="s">
        <v>91</v>
      </c>
      <c r="D56" s="1">
        <v>0.49</v>
      </c>
      <c r="E56">
        <v>-1</v>
      </c>
      <c r="F56" t="s">
        <v>29</v>
      </c>
    </row>
    <row r="57" spans="1:6" x14ac:dyDescent="0.25">
      <c r="A57" t="s">
        <v>295</v>
      </c>
      <c r="B57" t="s">
        <v>296</v>
      </c>
      <c r="C57" t="s">
        <v>297</v>
      </c>
      <c r="D57" s="1">
        <v>0.21</v>
      </c>
      <c r="E57">
        <v>-1</v>
      </c>
      <c r="F57" t="s">
        <v>59</v>
      </c>
    </row>
    <row r="58" spans="1:6" x14ac:dyDescent="0.25">
      <c r="A58" t="s">
        <v>318</v>
      </c>
      <c r="B58" t="s">
        <v>242</v>
      </c>
      <c r="C58" t="s">
        <v>172</v>
      </c>
      <c r="D58" s="1">
        <v>0.5</v>
      </c>
      <c r="E58">
        <v>-1</v>
      </c>
      <c r="F58" t="s">
        <v>319</v>
      </c>
    </row>
    <row r="59" spans="1:6" x14ac:dyDescent="0.25">
      <c r="A59" t="s">
        <v>75</v>
      </c>
      <c r="B59" t="s">
        <v>76</v>
      </c>
      <c r="C59" t="s">
        <v>77</v>
      </c>
      <c r="D59" s="1">
        <v>0.42</v>
      </c>
    </row>
    <row r="60" spans="1:6" x14ac:dyDescent="0.25">
      <c r="A60" t="s">
        <v>99</v>
      </c>
      <c r="B60" t="s">
        <v>100</v>
      </c>
      <c r="C60" t="s">
        <v>101</v>
      </c>
      <c r="D60" s="1">
        <v>0.46</v>
      </c>
    </row>
    <row r="61" spans="1:6" x14ac:dyDescent="0.25">
      <c r="A61" t="s">
        <v>128</v>
      </c>
      <c r="B61" t="s">
        <v>129</v>
      </c>
      <c r="C61" t="s">
        <v>130</v>
      </c>
      <c r="D61" s="1">
        <v>0.38</v>
      </c>
    </row>
    <row r="62" spans="1:6" x14ac:dyDescent="0.25">
      <c r="A62" t="s">
        <v>131</v>
      </c>
      <c r="B62" t="s">
        <v>132</v>
      </c>
      <c r="C62" t="s">
        <v>133</v>
      </c>
      <c r="D62" s="1">
        <v>0.49</v>
      </c>
    </row>
    <row r="63" spans="1:6" x14ac:dyDescent="0.25">
      <c r="A63" t="s">
        <v>134</v>
      </c>
      <c r="B63" t="s">
        <v>135</v>
      </c>
      <c r="C63" t="s">
        <v>136</v>
      </c>
      <c r="D63" s="1">
        <v>0.5</v>
      </c>
    </row>
    <row r="64" spans="1:6" x14ac:dyDescent="0.25">
      <c r="A64" t="s">
        <v>137</v>
      </c>
      <c r="B64" t="s">
        <v>138</v>
      </c>
      <c r="C64" t="s">
        <v>139</v>
      </c>
      <c r="D64" s="1">
        <v>0.42</v>
      </c>
    </row>
    <row r="65" spans="1:4" x14ac:dyDescent="0.25">
      <c r="A65" t="s">
        <v>137</v>
      </c>
      <c r="B65" t="s">
        <v>138</v>
      </c>
      <c r="C65" t="s">
        <v>139</v>
      </c>
      <c r="D65" s="1">
        <v>0.42</v>
      </c>
    </row>
    <row r="66" spans="1:4" x14ac:dyDescent="0.25">
      <c r="A66" t="s">
        <v>140</v>
      </c>
      <c r="B66" t="s">
        <v>141</v>
      </c>
      <c r="C66" t="s">
        <v>142</v>
      </c>
      <c r="D66" s="1">
        <v>0.02</v>
      </c>
    </row>
    <row r="67" spans="1:4" x14ac:dyDescent="0.25">
      <c r="A67" t="s">
        <v>143</v>
      </c>
      <c r="B67" t="s">
        <v>12</v>
      </c>
      <c r="C67" t="s">
        <v>144</v>
      </c>
      <c r="D67" s="1">
        <v>0.5</v>
      </c>
    </row>
    <row r="68" spans="1:4" x14ac:dyDescent="0.25">
      <c r="A68" t="s">
        <v>145</v>
      </c>
      <c r="B68" t="s">
        <v>146</v>
      </c>
      <c r="C68" t="s">
        <v>147</v>
      </c>
      <c r="D68" s="1">
        <v>0.33</v>
      </c>
    </row>
    <row r="69" spans="1:4" x14ac:dyDescent="0.25">
      <c r="A69" t="s">
        <v>148</v>
      </c>
      <c r="B69" t="s">
        <v>149</v>
      </c>
      <c r="C69" t="s">
        <v>150</v>
      </c>
      <c r="D69" s="1">
        <v>0.49</v>
      </c>
    </row>
    <row r="70" spans="1:4" x14ac:dyDescent="0.25">
      <c r="A70" t="s">
        <v>151</v>
      </c>
      <c r="B70" t="s">
        <v>152</v>
      </c>
      <c r="C70" t="s">
        <v>153</v>
      </c>
      <c r="D70" s="1">
        <v>0.38</v>
      </c>
    </row>
    <row r="71" spans="1:4" x14ac:dyDescent="0.25">
      <c r="A71" t="s">
        <v>154</v>
      </c>
      <c r="B71" t="s">
        <v>155</v>
      </c>
      <c r="C71" t="s">
        <v>156</v>
      </c>
      <c r="D71" s="1">
        <v>0.61</v>
      </c>
    </row>
    <row r="72" spans="1:4" x14ac:dyDescent="0.25">
      <c r="A72" t="s">
        <v>157</v>
      </c>
      <c r="B72" t="s">
        <v>158</v>
      </c>
      <c r="C72" t="s">
        <v>159</v>
      </c>
      <c r="D72" s="1">
        <v>0.5</v>
      </c>
    </row>
    <row r="73" spans="1:4" x14ac:dyDescent="0.25">
      <c r="A73" t="s">
        <v>160</v>
      </c>
      <c r="B73" t="s">
        <v>161</v>
      </c>
      <c r="C73" t="s">
        <v>162</v>
      </c>
      <c r="D73" s="1">
        <v>0.02</v>
      </c>
    </row>
    <row r="74" spans="1:4" x14ac:dyDescent="0.25">
      <c r="A74" t="s">
        <v>163</v>
      </c>
      <c r="B74" t="s">
        <v>158</v>
      </c>
      <c r="C74" t="s">
        <v>164</v>
      </c>
      <c r="D74" s="1">
        <v>0.22</v>
      </c>
    </row>
    <row r="75" spans="1:4" x14ac:dyDescent="0.25">
      <c r="A75" t="s">
        <v>165</v>
      </c>
      <c r="B75" t="s">
        <v>166</v>
      </c>
      <c r="C75" t="s">
        <v>167</v>
      </c>
      <c r="D75" s="1">
        <v>0.03</v>
      </c>
    </row>
    <row r="76" spans="1:4" x14ac:dyDescent="0.25">
      <c r="A76" t="s">
        <v>168</v>
      </c>
      <c r="B76" t="s">
        <v>43</v>
      </c>
      <c r="C76" t="s">
        <v>169</v>
      </c>
      <c r="D76" s="1">
        <v>0.41</v>
      </c>
    </row>
    <row r="77" spans="1:4" x14ac:dyDescent="0.25">
      <c r="A77" t="s">
        <v>170</v>
      </c>
      <c r="B77" t="s">
        <v>171</v>
      </c>
      <c r="C77" t="s">
        <v>172</v>
      </c>
      <c r="D77" s="1">
        <v>0.45</v>
      </c>
    </row>
    <row r="78" spans="1:4" x14ac:dyDescent="0.25">
      <c r="A78" t="s">
        <v>173</v>
      </c>
      <c r="B78" t="s">
        <v>174</v>
      </c>
      <c r="C78" t="s">
        <v>169</v>
      </c>
      <c r="D78" s="1">
        <v>0.48</v>
      </c>
    </row>
    <row r="79" spans="1:4" x14ac:dyDescent="0.25">
      <c r="A79" t="s">
        <v>175</v>
      </c>
      <c r="B79" t="s">
        <v>43</v>
      </c>
      <c r="C79" t="s">
        <v>176</v>
      </c>
      <c r="D79" s="1">
        <v>0.49</v>
      </c>
    </row>
    <row r="80" spans="1:4" x14ac:dyDescent="0.25">
      <c r="A80" t="s">
        <v>177</v>
      </c>
      <c r="B80" t="s">
        <v>178</v>
      </c>
      <c r="C80" t="s">
        <v>179</v>
      </c>
      <c r="D80" s="1">
        <v>0.27</v>
      </c>
    </row>
    <row r="81" spans="1:4" x14ac:dyDescent="0.25">
      <c r="A81" t="s">
        <v>170</v>
      </c>
      <c r="B81" t="s">
        <v>180</v>
      </c>
      <c r="C81" t="s">
        <v>181</v>
      </c>
      <c r="D81" s="1">
        <v>0.55000000000000004</v>
      </c>
    </row>
    <row r="82" spans="1:4" x14ac:dyDescent="0.25">
      <c r="A82" t="s">
        <v>232</v>
      </c>
      <c r="B82" t="s">
        <v>233</v>
      </c>
      <c r="C82" t="s">
        <v>234</v>
      </c>
      <c r="D82" s="1">
        <v>0.47</v>
      </c>
    </row>
    <row r="83" spans="1:4" x14ac:dyDescent="0.25">
      <c r="A83" t="s">
        <v>235</v>
      </c>
      <c r="B83" t="s">
        <v>236</v>
      </c>
      <c r="C83" t="s">
        <v>152</v>
      </c>
      <c r="D83" s="1">
        <v>0.43</v>
      </c>
    </row>
    <row r="84" spans="1:4" x14ac:dyDescent="0.25">
      <c r="A84" t="s">
        <v>237</v>
      </c>
      <c r="B84" t="s">
        <v>238</v>
      </c>
      <c r="C84" t="s">
        <v>239</v>
      </c>
      <c r="D84" s="1">
        <v>0.04</v>
      </c>
    </row>
    <row r="85" spans="1:4" x14ac:dyDescent="0.25">
      <c r="A85" t="s">
        <v>240</v>
      </c>
      <c r="B85" t="s">
        <v>241</v>
      </c>
      <c r="C85" t="s">
        <v>242</v>
      </c>
      <c r="D85" s="1">
        <v>0.49</v>
      </c>
    </row>
    <row r="86" spans="1:4" x14ac:dyDescent="0.25">
      <c r="A86" t="s">
        <v>248</v>
      </c>
      <c r="B86" t="s">
        <v>249</v>
      </c>
      <c r="C86" t="s">
        <v>250</v>
      </c>
      <c r="D86" s="1">
        <v>0.36</v>
      </c>
    </row>
    <row r="87" spans="1:4" x14ac:dyDescent="0.25">
      <c r="A87" t="s">
        <v>251</v>
      </c>
      <c r="B87" t="s">
        <v>252</v>
      </c>
      <c r="C87" t="s">
        <v>162</v>
      </c>
      <c r="D87" s="1">
        <v>0.02</v>
      </c>
    </row>
    <row r="88" spans="1:4" x14ac:dyDescent="0.25">
      <c r="A88" t="s">
        <v>137</v>
      </c>
      <c r="B88" t="s">
        <v>138</v>
      </c>
      <c r="C88" t="s">
        <v>139</v>
      </c>
      <c r="D88" s="1">
        <v>0.42</v>
      </c>
    </row>
    <row r="89" spans="1:4" x14ac:dyDescent="0.25">
      <c r="A89" t="s">
        <v>154</v>
      </c>
      <c r="B89" t="s">
        <v>255</v>
      </c>
      <c r="C89" t="s">
        <v>222</v>
      </c>
      <c r="D89" s="1">
        <v>0.49</v>
      </c>
    </row>
    <row r="90" spans="1:4" x14ac:dyDescent="0.25">
      <c r="A90" t="s">
        <v>256</v>
      </c>
      <c r="B90" t="s">
        <v>257</v>
      </c>
      <c r="C90" t="s">
        <v>162</v>
      </c>
      <c r="D90" s="1">
        <v>0.14000000000000001</v>
      </c>
    </row>
    <row r="91" spans="1:4" x14ac:dyDescent="0.25">
      <c r="A91" t="s">
        <v>258</v>
      </c>
      <c r="B91" t="s">
        <v>259</v>
      </c>
      <c r="C91" t="s">
        <v>260</v>
      </c>
      <c r="D91" s="1">
        <v>0.49</v>
      </c>
    </row>
    <row r="92" spans="1:4" x14ac:dyDescent="0.25">
      <c r="A92" t="s">
        <v>261</v>
      </c>
      <c r="B92" t="s">
        <v>43</v>
      </c>
      <c r="C92" t="s">
        <v>172</v>
      </c>
      <c r="D92" s="1">
        <v>0.11</v>
      </c>
    </row>
    <row r="93" spans="1:4" x14ac:dyDescent="0.25">
      <c r="A93" t="s">
        <v>175</v>
      </c>
      <c r="B93" t="s">
        <v>262</v>
      </c>
      <c r="C93" t="s">
        <v>263</v>
      </c>
      <c r="D93" s="1">
        <v>0.49</v>
      </c>
    </row>
    <row r="94" spans="1:4" x14ac:dyDescent="0.25">
      <c r="A94" t="s">
        <v>264</v>
      </c>
      <c r="B94" t="s">
        <v>265</v>
      </c>
      <c r="C94" t="s">
        <v>162</v>
      </c>
      <c r="D94" s="1">
        <v>0.14000000000000001</v>
      </c>
    </row>
    <row r="95" spans="1:4" x14ac:dyDescent="0.25">
      <c r="A95" t="s">
        <v>266</v>
      </c>
      <c r="B95" t="s">
        <v>267</v>
      </c>
      <c r="C95" t="s">
        <v>268</v>
      </c>
      <c r="D95" s="1">
        <v>0.43</v>
      </c>
    </row>
    <row r="96" spans="1:4" x14ac:dyDescent="0.25">
      <c r="A96" t="s">
        <v>269</v>
      </c>
      <c r="B96" t="s">
        <v>270</v>
      </c>
      <c r="C96" t="s">
        <v>271</v>
      </c>
      <c r="D96" s="1">
        <v>0.5</v>
      </c>
    </row>
    <row r="97" spans="1:4" x14ac:dyDescent="0.25">
      <c r="A97" t="s">
        <v>272</v>
      </c>
      <c r="B97" t="s">
        <v>273</v>
      </c>
      <c r="C97" t="s">
        <v>184</v>
      </c>
      <c r="D97" s="1">
        <v>0.48</v>
      </c>
    </row>
    <row r="98" spans="1:4" x14ac:dyDescent="0.25">
      <c r="A98" t="s">
        <v>274</v>
      </c>
      <c r="B98" t="s">
        <v>275</v>
      </c>
      <c r="C98" t="s">
        <v>276</v>
      </c>
      <c r="D98" s="1">
        <v>0.48</v>
      </c>
    </row>
    <row r="99" spans="1:4" x14ac:dyDescent="0.25">
      <c r="A99" t="s">
        <v>277</v>
      </c>
      <c r="B99" t="s">
        <v>226</v>
      </c>
      <c r="C99" t="s">
        <v>162</v>
      </c>
      <c r="D99" s="1">
        <v>0.47</v>
      </c>
    </row>
    <row r="100" spans="1:4" x14ac:dyDescent="0.25">
      <c r="A100" t="s">
        <v>277</v>
      </c>
      <c r="B100" t="s">
        <v>226</v>
      </c>
      <c r="C100" t="s">
        <v>162</v>
      </c>
      <c r="D100" s="1">
        <v>0.47</v>
      </c>
    </row>
    <row r="101" spans="1:4" x14ac:dyDescent="0.25">
      <c r="A101" t="s">
        <v>278</v>
      </c>
      <c r="B101" t="s">
        <v>152</v>
      </c>
      <c r="C101" t="s">
        <v>279</v>
      </c>
      <c r="D101" s="1">
        <v>0.5</v>
      </c>
    </row>
    <row r="102" spans="1:4" x14ac:dyDescent="0.25">
      <c r="A102" t="s">
        <v>280</v>
      </c>
      <c r="B102" t="s">
        <v>281</v>
      </c>
      <c r="C102" t="s">
        <v>161</v>
      </c>
      <c r="D102" s="1">
        <v>0.08</v>
      </c>
    </row>
    <row r="103" spans="1:4" x14ac:dyDescent="0.25">
      <c r="A103" t="s">
        <v>282</v>
      </c>
      <c r="B103" t="s">
        <v>283</v>
      </c>
      <c r="C103" t="s">
        <v>167</v>
      </c>
      <c r="D103" s="1">
        <v>0.02</v>
      </c>
    </row>
    <row r="104" spans="1:4" x14ac:dyDescent="0.25">
      <c r="A104" t="s">
        <v>284</v>
      </c>
      <c r="B104" t="s">
        <v>285</v>
      </c>
      <c r="C104" t="s">
        <v>286</v>
      </c>
      <c r="D104" s="1">
        <v>0.49</v>
      </c>
    </row>
    <row r="105" spans="1:4" x14ac:dyDescent="0.25">
      <c r="A105" t="s">
        <v>287</v>
      </c>
      <c r="B105" t="s">
        <v>288</v>
      </c>
      <c r="C105" t="s">
        <v>67</v>
      </c>
      <c r="D105" s="1">
        <v>0.04</v>
      </c>
    </row>
    <row r="106" spans="1:4" x14ac:dyDescent="0.25">
      <c r="A106" t="s">
        <v>289</v>
      </c>
      <c r="B106" t="s">
        <v>290</v>
      </c>
      <c r="C106" t="s">
        <v>291</v>
      </c>
      <c r="D106" s="1">
        <v>0.49</v>
      </c>
    </row>
    <row r="107" spans="1:4" x14ac:dyDescent="0.25">
      <c r="A107" t="s">
        <v>292</v>
      </c>
      <c r="B107" t="s">
        <v>293</v>
      </c>
      <c r="C107" t="s">
        <v>294</v>
      </c>
      <c r="D107" s="1">
        <v>0.42</v>
      </c>
    </row>
    <row r="108" spans="1:4" x14ac:dyDescent="0.25">
      <c r="A108" t="s">
        <v>298</v>
      </c>
      <c r="B108" t="s">
        <v>299</v>
      </c>
      <c r="C108" t="s">
        <v>300</v>
      </c>
      <c r="D108" s="1">
        <v>0.41</v>
      </c>
    </row>
    <row r="109" spans="1:4" x14ac:dyDescent="0.25">
      <c r="A109" t="s">
        <v>301</v>
      </c>
      <c r="B109" t="s">
        <v>302</v>
      </c>
      <c r="C109" t="s">
        <v>303</v>
      </c>
      <c r="D109" s="1">
        <v>0.01</v>
      </c>
    </row>
    <row r="110" spans="1:4" x14ac:dyDescent="0.25">
      <c r="A110" t="s">
        <v>304</v>
      </c>
      <c r="B110" t="s">
        <v>305</v>
      </c>
      <c r="C110" t="s">
        <v>306</v>
      </c>
      <c r="D110" s="1">
        <v>0.24</v>
      </c>
    </row>
    <row r="111" spans="1:4" x14ac:dyDescent="0.25">
      <c r="A111" t="s">
        <v>307</v>
      </c>
      <c r="B111" t="s">
        <v>308</v>
      </c>
      <c r="C111" t="s">
        <v>309</v>
      </c>
      <c r="D111" s="1">
        <v>0.34</v>
      </c>
    </row>
    <row r="112" spans="1:4" x14ac:dyDescent="0.25">
      <c r="A112" t="s">
        <v>310</v>
      </c>
      <c r="B112" t="s">
        <v>146</v>
      </c>
      <c r="C112" t="s">
        <v>311</v>
      </c>
      <c r="D112" s="1">
        <v>0.34</v>
      </c>
    </row>
    <row r="113" spans="1:4" x14ac:dyDescent="0.25">
      <c r="A113" t="s">
        <v>312</v>
      </c>
      <c r="B113" t="s">
        <v>313</v>
      </c>
      <c r="C113" t="s">
        <v>162</v>
      </c>
      <c r="D113" s="1">
        <v>0.02</v>
      </c>
    </row>
    <row r="114" spans="1:4" x14ac:dyDescent="0.25">
      <c r="A114" t="s">
        <v>314</v>
      </c>
      <c r="B114" t="s">
        <v>315</v>
      </c>
      <c r="C114" t="s">
        <v>239</v>
      </c>
      <c r="D114" s="1">
        <v>0.02</v>
      </c>
    </row>
    <row r="115" spans="1:4" x14ac:dyDescent="0.25">
      <c r="A115" t="s">
        <v>316</v>
      </c>
      <c r="B115" t="s">
        <v>155</v>
      </c>
      <c r="C115" t="s">
        <v>317</v>
      </c>
      <c r="D115" s="1">
        <v>0.64</v>
      </c>
    </row>
    <row r="116" spans="1:4" x14ac:dyDescent="0.25">
      <c r="A116" t="s">
        <v>320</v>
      </c>
      <c r="B116" t="s">
        <v>321</v>
      </c>
      <c r="C116" t="s">
        <v>322</v>
      </c>
      <c r="D116" s="1">
        <v>0.47</v>
      </c>
    </row>
  </sheetData>
  <autoFilter ref="A1:F116" xr:uid="{8EE4D99E-C822-4403-B3D8-062DE1F3FA9B}">
    <sortState xmlns:xlrd2="http://schemas.microsoft.com/office/spreadsheetml/2017/richdata2" ref="A2:F116">
      <sortCondition ref="E1:E11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5342-F659-4745-93A3-34B9C3257D87}">
  <dimension ref="A1:Q116"/>
  <sheetViews>
    <sheetView topLeftCell="E1" workbookViewId="0">
      <selection activeCell="M5" sqref="M5"/>
    </sheetView>
  </sheetViews>
  <sheetFormatPr defaultRowHeight="15" x14ac:dyDescent="0.25"/>
  <cols>
    <col min="1" max="1" width="95" bestFit="1" customWidth="1"/>
    <col min="2" max="3" width="19.42578125" style="3" bestFit="1" customWidth="1"/>
    <col min="4" max="4" width="18.140625" customWidth="1"/>
    <col min="5" max="5" width="21.85546875" style="4" bestFit="1" customWidth="1"/>
    <col min="6" max="6" width="11" customWidth="1"/>
    <col min="7" max="7" width="11.5703125" style="2" customWidth="1"/>
    <col min="8" max="8" width="15.140625" bestFit="1" customWidth="1"/>
    <col min="9" max="9" width="17.7109375" bestFit="1" customWidth="1"/>
    <col min="10" max="10" width="15" bestFit="1" customWidth="1"/>
    <col min="11" max="11" width="17.7109375" bestFit="1" customWidth="1"/>
    <col min="12" max="12" width="20.28515625" bestFit="1" customWidth="1"/>
    <col min="13" max="13" width="16.5703125" bestFit="1" customWidth="1"/>
    <col min="14" max="14" width="28" bestFit="1" customWidth="1"/>
    <col min="15" max="15" width="33.5703125" bestFit="1" customWidth="1"/>
    <col min="16" max="16" width="31.5703125" bestFit="1" customWidth="1"/>
    <col min="17" max="17" width="37.42578125" bestFit="1" customWidth="1"/>
  </cols>
  <sheetData>
    <row r="1" spans="1:17" x14ac:dyDescent="0.25">
      <c r="A1" t="s">
        <v>0</v>
      </c>
      <c r="B1" s="3" t="s">
        <v>1</v>
      </c>
      <c r="C1" s="3" t="s">
        <v>331</v>
      </c>
      <c r="D1" t="s">
        <v>3</v>
      </c>
      <c r="E1" s="4" t="s">
        <v>327</v>
      </c>
      <c r="F1" t="s">
        <v>4</v>
      </c>
      <c r="G1" s="2" t="s">
        <v>323</v>
      </c>
      <c r="H1" t="s">
        <v>324</v>
      </c>
      <c r="I1" t="s">
        <v>325</v>
      </c>
      <c r="J1" t="s">
        <v>326</v>
      </c>
      <c r="K1" t="s">
        <v>328</v>
      </c>
      <c r="L1" t="s">
        <v>329</v>
      </c>
      <c r="M1" t="s">
        <v>330</v>
      </c>
      <c r="N1" t="s">
        <v>336</v>
      </c>
      <c r="O1" t="s">
        <v>337</v>
      </c>
      <c r="P1" t="s">
        <v>338</v>
      </c>
      <c r="Q1" t="s">
        <v>339</v>
      </c>
    </row>
    <row r="2" spans="1:17" hidden="1" x14ac:dyDescent="0.25">
      <c r="A2" t="s">
        <v>316</v>
      </c>
      <c r="B2" s="3">
        <v>199</v>
      </c>
      <c r="C2" s="3">
        <v>553</v>
      </c>
      <c r="D2" s="1">
        <v>0.64</v>
      </c>
      <c r="E2" s="4">
        <f t="shared" ref="E2:E33" si="0">(C2-B2)/C2</f>
        <v>0.64014466546112114</v>
      </c>
      <c r="H2" t="str">
        <f t="shared" ref="H2:H33" si="1">IF(OR(G2&lt;0,G2&gt;5,ISBLANK(G2)),"Check Rating","Ok")</f>
        <v>Check Rating</v>
      </c>
      <c r="I2" t="str">
        <f t="shared" ref="I2:I33" si="2">IF(OR(E2&lt;0,E2&gt;100),"Discount ","Ok")</f>
        <v>Ok</v>
      </c>
      <c r="J2" t="str">
        <f t="shared" ref="J2:J33" si="3">IF(OR(B2&gt;C2),"Check Prices","Ok")</f>
        <v>Ok</v>
      </c>
      <c r="K2" t="str">
        <f t="shared" ref="K2:K33" si="4">IF(ISBLANK(G2),"Missing",IF(G2&lt;3,"Poor",IF(G2&lt;4,"Average","Excellent")))</f>
        <v>Missing</v>
      </c>
      <c r="L2" t="str">
        <f t="shared" ref="L2:L33" si="5">IF(E2&lt;20%,"Low Discount",IF(E2&lt;40%,"Medium Discount","High Discount"))</f>
        <v>High Discount</v>
      </c>
      <c r="M2" t="str">
        <f t="shared" ref="M2:M33" si="6">IF(B2&lt;Price_Q1,"Low Price",IF(B2&lt;=Price_Q3,"Medium Price","High Price"))</f>
        <v>Low Price</v>
      </c>
      <c r="N2" t="str">
        <f>IF(OR(ISBLANK(tblproducts[[#This Row],[Ratings]])),"No Rating",IF(AND(tblproducts[[#This Row],[Calculated Discount]]&gt; High_dis,tblproducts[[#This Row],[Ratings]]&lt;3),"Yes","No"))</f>
        <v>No Rating</v>
      </c>
      <c r="O2" t="str">
        <f>IF(OR(ISBLANK(tblproducts[[#This Row],[Review]])),"No Review",IF(AND(tblproducts[[#This Row],[Calculated Discount]] &gt;High_dis,tblproducts[[#This Row],[Review]]&lt; weak_engagem),"Yes","No"))</f>
        <v>No Review</v>
      </c>
      <c r="P2" t="str">
        <f>IF(OR(ISBLANK(tblproducts[[#This Row],[Review]])),"Not Provided",IF(AND(tblproducts[[#This Row],[Review]]&gt;=str_engagement,tblproducts[[#This Row],[Ratings]]&gt;=3,tblproducts[[#This Row],[Ratings]]&lt;4),"Yes","No"))</f>
        <v>Not Provided</v>
      </c>
      <c r="Q2" t="str">
        <f>IF(OR(ISBLANK(tblproducts[[#This Row],[Review]])),"Not Provided",IF(AND(tblproducts[[#This Row],[Review]]&gt;str_engagement,tblproducts[[#This Row],[Ratings]]&gt;=4),"Yes","No"))</f>
        <v>Not Provided</v>
      </c>
    </row>
    <row r="3" spans="1:17" hidden="1" x14ac:dyDescent="0.25">
      <c r="A3" t="s">
        <v>154</v>
      </c>
      <c r="B3" s="3">
        <v>199</v>
      </c>
      <c r="C3" s="3">
        <v>504</v>
      </c>
      <c r="D3" s="1">
        <v>0.61</v>
      </c>
      <c r="E3" s="4">
        <f t="shared" si="0"/>
        <v>0.60515873015873012</v>
      </c>
      <c r="H3" t="str">
        <f t="shared" si="1"/>
        <v>Check Rating</v>
      </c>
      <c r="I3" t="str">
        <f t="shared" si="2"/>
        <v>Ok</v>
      </c>
      <c r="J3" t="str">
        <f t="shared" si="3"/>
        <v>Ok</v>
      </c>
      <c r="K3" t="str">
        <f t="shared" si="4"/>
        <v>Missing</v>
      </c>
      <c r="L3" t="str">
        <f t="shared" si="5"/>
        <v>High Discount</v>
      </c>
      <c r="M3" t="str">
        <f t="shared" si="6"/>
        <v>Low Price</v>
      </c>
      <c r="N3" t="str">
        <f>IF(OR(ISBLANK(tblproducts[[#This Row],[Ratings]])),"No Rating",IF(AND(tblproducts[[#This Row],[Calculated Discount]]&gt; High_dis,tblproducts[[#This Row],[Ratings]]&lt;3),"Yes","No"))</f>
        <v>No Rating</v>
      </c>
      <c r="O3" t="str">
        <f>IF(OR(ISBLANK(tblproducts[[#This Row],[Review]])),"No Review",IF(AND(tblproducts[[#This Row],[Calculated Discount]] &gt;High_dis,tblproducts[[#This Row],[Review]]&lt; weak_engagem),"Yes","No"))</f>
        <v>No Review</v>
      </c>
      <c r="P3" t="str">
        <f>IF(OR(ISBLANK(tblproducts[[#This Row],[Review]])),"Not Provided",IF(AND(tblproducts[[#This Row],[Review]]&gt;=str_engagement,tblproducts[[#This Row],[Ratings]]&gt;=3,tblproducts[[#This Row],[Ratings]]&lt;4),"Yes","No"))</f>
        <v>Not Provided</v>
      </c>
      <c r="Q3" t="str">
        <f>IF(OR(ISBLANK(tblproducts[[#This Row],[Review]])),"Not Provided",IF(AND(tblproducts[[#This Row],[Review]]&gt;str_engagement,tblproducts[[#This Row],[Ratings]]&gt;=4),"Yes","No"))</f>
        <v>Not Provided</v>
      </c>
    </row>
    <row r="4" spans="1:17" hidden="1" x14ac:dyDescent="0.25">
      <c r="A4" t="s">
        <v>190</v>
      </c>
      <c r="B4" s="3">
        <v>2115</v>
      </c>
      <c r="C4" s="3">
        <v>4700</v>
      </c>
      <c r="D4" s="1">
        <v>0.55000000000000004</v>
      </c>
      <c r="E4" s="4">
        <f t="shared" si="0"/>
        <v>0.55000000000000004</v>
      </c>
      <c r="F4">
        <v>13</v>
      </c>
      <c r="G4" s="2">
        <v>2.1</v>
      </c>
      <c r="H4" t="str">
        <f t="shared" si="1"/>
        <v>Ok</v>
      </c>
      <c r="I4" t="str">
        <f t="shared" si="2"/>
        <v>Ok</v>
      </c>
      <c r="J4" t="str">
        <f t="shared" si="3"/>
        <v>Ok</v>
      </c>
      <c r="K4" t="str">
        <f t="shared" si="4"/>
        <v>Poor</v>
      </c>
      <c r="L4" t="str">
        <f t="shared" si="5"/>
        <v>High Discount</v>
      </c>
      <c r="M4" t="str">
        <f t="shared" si="6"/>
        <v>High Price</v>
      </c>
      <c r="N4" t="str">
        <f>IF(OR(ISBLANK(tblproducts[[#This Row],[Ratings]])),"No Rating",IF(AND(tblproducts[[#This Row],[Calculated Discount]]&gt; High_dis,tblproducts[[#This Row],[Ratings]]&lt;3),"Yes","No"))</f>
        <v>Yes</v>
      </c>
      <c r="O4" t="str">
        <f>IF(OR(ISBLANK(tblproducts[[#This Row],[Review]])),"No Review",IF(AND(tblproducts[[#This Row],[Calculated Discount]] &gt;High_dis,tblproducts[[#This Row],[Review]]&lt; weak_engagem),"Yes","No"))</f>
        <v>No</v>
      </c>
      <c r="P4" t="str">
        <f>IF(OR(ISBLANK(tblproducts[[#This Row],[Review]])),"Not Provided",IF(AND(tblproducts[[#This Row],[Review]]&gt;=str_engagement,tblproducts[[#This Row],[Ratings]]&gt;=3,tblproducts[[#This Row],[Ratings]]&lt;4),"Yes","No"))</f>
        <v>No</v>
      </c>
      <c r="Q4" t="str">
        <f>IF(OR(ISBLANK(tblproducts[[#This Row],[Review]])),"Not Provided",IF(AND(tblproducts[[#This Row],[Review]]&gt;str_engagement,tblproducts[[#This Row],[Ratings]]&gt;=4),"Yes","No"))</f>
        <v>No</v>
      </c>
    </row>
    <row r="5" spans="1:17" hidden="1" x14ac:dyDescent="0.25">
      <c r="A5" t="s">
        <v>35</v>
      </c>
      <c r="B5" s="3">
        <v>1274</v>
      </c>
      <c r="C5" s="3">
        <v>2800</v>
      </c>
      <c r="D5" s="1">
        <v>0.55000000000000004</v>
      </c>
      <c r="E5" s="4">
        <f t="shared" si="0"/>
        <v>0.54500000000000004</v>
      </c>
      <c r="F5">
        <v>5</v>
      </c>
      <c r="G5" s="2">
        <v>4.8</v>
      </c>
      <c r="H5" t="str">
        <f t="shared" si="1"/>
        <v>Ok</v>
      </c>
      <c r="I5" t="str">
        <f t="shared" si="2"/>
        <v>Ok</v>
      </c>
      <c r="J5" t="str">
        <f t="shared" si="3"/>
        <v>Ok</v>
      </c>
      <c r="K5" t="str">
        <f t="shared" si="4"/>
        <v>Excellent</v>
      </c>
      <c r="L5" t="str">
        <f t="shared" si="5"/>
        <v>High Discount</v>
      </c>
      <c r="M5" t="str">
        <f t="shared" si="6"/>
        <v>Medium Price</v>
      </c>
      <c r="N5" t="str">
        <f>IF(OR(ISBLANK(tblproducts[[#This Row],[Ratings]])),"No Rating",IF(AND(tblproducts[[#This Row],[Calculated Discount]]&gt; High_dis,tblproducts[[#This Row],[Ratings]]&lt;3),"Yes","No"))</f>
        <v>No</v>
      </c>
      <c r="O5" t="str">
        <f>IF(OR(ISBLANK(tblproducts[[#This Row],[Review]])),"No Review",IF(AND(tblproducts[[#This Row],[Calculated Discount]] &gt;High_dis,tblproducts[[#This Row],[Review]]&lt; weak_engagem),"Yes","No"))</f>
        <v>No</v>
      </c>
      <c r="P5" t="str">
        <f>IF(OR(ISBLANK(tblproducts[[#This Row],[Review]])),"Not Provided",IF(AND(tblproducts[[#This Row],[Review]]&gt;=str_engagement,tblproducts[[#This Row],[Ratings]]&gt;=3,tblproducts[[#This Row],[Ratings]]&lt;4),"Yes","No"))</f>
        <v>No</v>
      </c>
      <c r="Q5" t="str">
        <f>IF(OR(ISBLANK(tblproducts[[#This Row],[Review]])),"Not Provided",IF(AND(tblproducts[[#This Row],[Review]]&gt;str_engagement,tblproducts[[#This Row],[Ratings]]&gt;=4),"Yes","No"))</f>
        <v>No</v>
      </c>
    </row>
    <row r="6" spans="1:17" hidden="1" x14ac:dyDescent="0.25">
      <c r="A6" t="s">
        <v>170</v>
      </c>
      <c r="B6" s="3">
        <v>399</v>
      </c>
      <c r="C6" s="3">
        <v>896</v>
      </c>
      <c r="D6" s="1">
        <v>0.55000000000000004</v>
      </c>
      <c r="E6" s="4">
        <f t="shared" si="0"/>
        <v>0.5546875</v>
      </c>
      <c r="H6" t="str">
        <f t="shared" si="1"/>
        <v>Check Rating</v>
      </c>
      <c r="I6" t="str">
        <f t="shared" si="2"/>
        <v>Ok</v>
      </c>
      <c r="J6" t="str">
        <f t="shared" si="3"/>
        <v>Ok</v>
      </c>
      <c r="K6" t="str">
        <f t="shared" si="4"/>
        <v>Missing</v>
      </c>
      <c r="L6" t="str">
        <f t="shared" si="5"/>
        <v>High Discount</v>
      </c>
      <c r="M6" t="str">
        <f t="shared" si="6"/>
        <v>Low Price</v>
      </c>
      <c r="N6" t="str">
        <f>IF(OR(ISBLANK(tblproducts[[#This Row],[Ratings]])),"No Rating",IF(AND(tblproducts[[#This Row],[Calculated Discount]]&gt; High_dis,tblproducts[[#This Row],[Ratings]]&lt;3),"Yes","No"))</f>
        <v>No Rating</v>
      </c>
      <c r="O6" t="str">
        <f>IF(OR(ISBLANK(tblproducts[[#This Row],[Review]])),"No Review",IF(AND(tblproducts[[#This Row],[Calculated Discount]] &gt;High_dis,tblproducts[[#This Row],[Review]]&lt; weak_engagem),"Yes","No"))</f>
        <v>No Review</v>
      </c>
      <c r="P6" t="str">
        <f>IF(OR(ISBLANK(tblproducts[[#This Row],[Review]])),"Not Provided",IF(AND(tblproducts[[#This Row],[Review]]&gt;=str_engagement,tblproducts[[#This Row],[Ratings]]&gt;=3,tblproducts[[#This Row],[Ratings]]&lt;4),"Yes","No"))</f>
        <v>Not Provided</v>
      </c>
      <c r="Q6" t="str">
        <f>IF(OR(ISBLANK(tblproducts[[#This Row],[Review]])),"Not Provided",IF(AND(tblproducts[[#This Row],[Review]]&gt;str_engagement,tblproducts[[#This Row],[Ratings]]&gt;=4),"Yes","No"))</f>
        <v>Not Provided</v>
      </c>
    </row>
    <row r="7" spans="1:17" hidden="1" x14ac:dyDescent="0.25">
      <c r="A7" t="s">
        <v>186</v>
      </c>
      <c r="B7" s="3">
        <v>458</v>
      </c>
      <c r="C7" s="3">
        <v>986</v>
      </c>
      <c r="D7" s="1">
        <v>0.54</v>
      </c>
      <c r="E7" s="4">
        <f t="shared" si="0"/>
        <v>0.53549695740365111</v>
      </c>
      <c r="F7">
        <v>10</v>
      </c>
      <c r="G7" s="2">
        <v>3</v>
      </c>
      <c r="H7" t="str">
        <f t="shared" si="1"/>
        <v>Ok</v>
      </c>
      <c r="I7" t="str">
        <f t="shared" si="2"/>
        <v>Ok</v>
      </c>
      <c r="J7" t="str">
        <f t="shared" si="3"/>
        <v>Ok</v>
      </c>
      <c r="K7" t="str">
        <f t="shared" si="4"/>
        <v>Average</v>
      </c>
      <c r="L7" t="str">
        <f t="shared" si="5"/>
        <v>High Discount</v>
      </c>
      <c r="M7" t="str">
        <f t="shared" si="6"/>
        <v>Low Price</v>
      </c>
      <c r="N7" t="str">
        <f>IF(OR(ISBLANK(tblproducts[[#This Row],[Ratings]])),"No Rating",IF(AND(tblproducts[[#This Row],[Calculated Discount]]&gt; High_dis,tblproducts[[#This Row],[Ratings]]&lt;3),"Yes","No"))</f>
        <v>No</v>
      </c>
      <c r="O7" t="str">
        <f>IF(OR(ISBLANK(tblproducts[[#This Row],[Review]])),"No Review",IF(AND(tblproducts[[#This Row],[Calculated Discount]] &gt;High_dis,tblproducts[[#This Row],[Review]]&lt; weak_engagem),"Yes","No"))</f>
        <v>No</v>
      </c>
      <c r="P7" t="str">
        <f>IF(OR(ISBLANK(tblproducts[[#This Row],[Review]])),"Not Provided",IF(AND(tblproducts[[#This Row],[Review]]&gt;=str_engagement,tblproducts[[#This Row],[Ratings]]&gt;=3,tblproducts[[#This Row],[Ratings]]&lt;4),"Yes","No"))</f>
        <v>No</v>
      </c>
      <c r="Q7" t="str">
        <f>IF(OR(ISBLANK(tblproducts[[#This Row],[Review]])),"Not Provided",IF(AND(tblproducts[[#This Row],[Review]]&gt;str_engagement,tblproducts[[#This Row],[Ratings]]&gt;=4),"Yes","No"))</f>
        <v>No</v>
      </c>
    </row>
    <row r="8" spans="1:17" hidden="1" x14ac:dyDescent="0.25">
      <c r="A8" t="s">
        <v>85</v>
      </c>
      <c r="B8" s="3">
        <v>2048</v>
      </c>
      <c r="C8" s="3">
        <v>4500</v>
      </c>
      <c r="D8" s="1">
        <v>0.54</v>
      </c>
      <c r="E8" s="4">
        <f t="shared" si="0"/>
        <v>0.54488888888888887</v>
      </c>
      <c r="F8">
        <v>7</v>
      </c>
      <c r="G8" s="2">
        <v>4.3</v>
      </c>
      <c r="H8" t="str">
        <f t="shared" si="1"/>
        <v>Ok</v>
      </c>
      <c r="I8" t="str">
        <f t="shared" si="2"/>
        <v>Ok</v>
      </c>
      <c r="J8" t="str">
        <f t="shared" si="3"/>
        <v>Ok</v>
      </c>
      <c r="K8" t="str">
        <f t="shared" si="4"/>
        <v>Excellent</v>
      </c>
      <c r="L8" t="str">
        <f t="shared" si="5"/>
        <v>High Discount</v>
      </c>
      <c r="M8" t="str">
        <f t="shared" si="6"/>
        <v>High Price</v>
      </c>
      <c r="N8" t="str">
        <f>IF(OR(ISBLANK(tblproducts[[#This Row],[Ratings]])),"No Rating",IF(AND(tblproducts[[#This Row],[Calculated Discount]]&gt; High_dis,tblproducts[[#This Row],[Ratings]]&lt;3),"Yes","No"))</f>
        <v>No</v>
      </c>
      <c r="O8" t="str">
        <f>IF(OR(ISBLANK(tblproducts[[#This Row],[Review]])),"No Review",IF(AND(tblproducts[[#This Row],[Calculated Discount]] &gt;High_dis,tblproducts[[#This Row],[Review]]&lt; weak_engagem),"Yes","No"))</f>
        <v>No</v>
      </c>
      <c r="P8" t="str">
        <f>IF(OR(ISBLANK(tblproducts[[#This Row],[Review]])),"Not Provided",IF(AND(tblproducts[[#This Row],[Review]]&gt;=str_engagement,tblproducts[[#This Row],[Ratings]]&gt;=3,tblproducts[[#This Row],[Ratings]]&lt;4),"Yes","No"))</f>
        <v>No</v>
      </c>
      <c r="Q8" t="str">
        <f>IF(OR(ISBLANK(tblproducts[[#This Row],[Review]])),"Not Provided",IF(AND(tblproducts[[#This Row],[Review]]&gt;str_engagement,tblproducts[[#This Row],[Ratings]]&gt;=4),"Yes","No"))</f>
        <v>No</v>
      </c>
    </row>
    <row r="9" spans="1:17" hidden="1" x14ac:dyDescent="0.25">
      <c r="A9" t="s">
        <v>71</v>
      </c>
      <c r="B9" s="3">
        <v>38</v>
      </c>
      <c r="C9" s="3">
        <v>80</v>
      </c>
      <c r="D9" s="1">
        <v>0.53</v>
      </c>
      <c r="E9" s="4">
        <f t="shared" si="0"/>
        <v>0.52500000000000002</v>
      </c>
      <c r="F9">
        <v>13</v>
      </c>
      <c r="G9" s="2">
        <v>3.3</v>
      </c>
      <c r="H9" t="str">
        <f t="shared" si="1"/>
        <v>Ok</v>
      </c>
      <c r="I9" t="str">
        <f t="shared" si="2"/>
        <v>Ok</v>
      </c>
      <c r="J9" t="str">
        <f t="shared" si="3"/>
        <v>Ok</v>
      </c>
      <c r="K9" t="str">
        <f t="shared" si="4"/>
        <v>Average</v>
      </c>
      <c r="L9" t="str">
        <f t="shared" si="5"/>
        <v>High Discount</v>
      </c>
      <c r="M9" t="str">
        <f t="shared" si="6"/>
        <v>Low Price</v>
      </c>
      <c r="N9" t="str">
        <f>IF(OR(ISBLANK(tblproducts[[#This Row],[Ratings]])),"No Rating",IF(AND(tblproducts[[#This Row],[Calculated Discount]]&gt; High_dis,tblproducts[[#This Row],[Ratings]]&lt;3),"Yes","No"))</f>
        <v>No</v>
      </c>
      <c r="O9" t="str">
        <f>IF(OR(ISBLANK(tblproducts[[#This Row],[Review]])),"No Review",IF(AND(tblproducts[[#This Row],[Calculated Discount]] &gt;High_dis,tblproducts[[#This Row],[Review]]&lt; weak_engagem),"Yes","No"))</f>
        <v>No</v>
      </c>
      <c r="P9" t="str">
        <f>IF(OR(ISBLANK(tblproducts[[#This Row],[Review]])),"Not Provided",IF(AND(tblproducts[[#This Row],[Review]]&gt;=str_engagement,tblproducts[[#This Row],[Ratings]]&gt;=3,tblproducts[[#This Row],[Ratings]]&lt;4),"Yes","No"))</f>
        <v>No</v>
      </c>
      <c r="Q9" t="str">
        <f>IF(OR(ISBLANK(tblproducts[[#This Row],[Review]])),"Not Provided",IF(AND(tblproducts[[#This Row],[Review]]&gt;str_engagement,tblproducts[[#This Row],[Ratings]]&gt;=4),"Yes","No"))</f>
        <v>No</v>
      </c>
    </row>
    <row r="10" spans="1:17" x14ac:dyDescent="0.25">
      <c r="A10" t="s">
        <v>120</v>
      </c>
      <c r="B10" s="3">
        <v>171</v>
      </c>
      <c r="C10" s="3">
        <v>360</v>
      </c>
      <c r="D10" s="1">
        <v>0.53</v>
      </c>
      <c r="E10" s="4">
        <f t="shared" si="0"/>
        <v>0.52500000000000002</v>
      </c>
      <c r="F10">
        <v>2</v>
      </c>
      <c r="G10" s="2">
        <v>5</v>
      </c>
      <c r="H10" t="str">
        <f t="shared" si="1"/>
        <v>Ok</v>
      </c>
      <c r="I10" t="str">
        <f t="shared" si="2"/>
        <v>Ok</v>
      </c>
      <c r="J10" t="str">
        <f t="shared" si="3"/>
        <v>Ok</v>
      </c>
      <c r="K10" t="str">
        <f t="shared" si="4"/>
        <v>Excellent</v>
      </c>
      <c r="L10" t="str">
        <f t="shared" si="5"/>
        <v>High Discount</v>
      </c>
      <c r="M10" t="str">
        <f t="shared" si="6"/>
        <v>Low Price</v>
      </c>
      <c r="N10" t="str">
        <f>IF(OR(ISBLANK(tblproducts[[#This Row],[Ratings]])),"No Rating",IF(AND(tblproducts[[#This Row],[Calculated Discount]]&gt; High_dis,tblproducts[[#This Row],[Ratings]]&lt;3),"Yes","No"))</f>
        <v>No</v>
      </c>
      <c r="O10" t="str">
        <f>IF(OR(ISBLANK(tblproducts[[#This Row],[Review]])),"No Review",IF(AND(tblproducts[[#This Row],[Calculated Discount]] &gt;High_dis,tblproducts[[#This Row],[Review]]&lt; weak_engagem),"Yes","No"))</f>
        <v>Yes</v>
      </c>
      <c r="P10" t="str">
        <f>IF(OR(ISBLANK(tblproducts[[#This Row],[Review]])),"Not Provided",IF(AND(tblproducts[[#This Row],[Review]]&gt;=str_engagement,tblproducts[[#This Row],[Ratings]]&gt;=3,tblproducts[[#This Row],[Ratings]]&lt;4),"Yes","No"))</f>
        <v>No</v>
      </c>
      <c r="Q10" t="str">
        <f>IF(OR(ISBLANK(tblproducts[[#This Row],[Review]])),"Not Provided",IF(AND(tblproducts[[#This Row],[Review]]&gt;str_engagement,tblproducts[[#This Row],[Ratings]]&gt;=4),"Yes","No"))</f>
        <v>No</v>
      </c>
    </row>
    <row r="11" spans="1:17" hidden="1" x14ac:dyDescent="0.25">
      <c r="A11" t="s">
        <v>198</v>
      </c>
      <c r="B11" s="3">
        <v>325</v>
      </c>
      <c r="C11" s="3">
        <v>680</v>
      </c>
      <c r="D11" s="1">
        <v>0.52</v>
      </c>
      <c r="E11" s="4">
        <f t="shared" si="0"/>
        <v>0.5220588235294118</v>
      </c>
      <c r="F11">
        <v>15</v>
      </c>
      <c r="G11" s="2">
        <v>2.7</v>
      </c>
      <c r="H11" t="str">
        <f t="shared" si="1"/>
        <v>Ok</v>
      </c>
      <c r="I11" t="str">
        <f t="shared" si="2"/>
        <v>Ok</v>
      </c>
      <c r="J11" t="str">
        <f t="shared" si="3"/>
        <v>Ok</v>
      </c>
      <c r="K11" t="str">
        <f t="shared" si="4"/>
        <v>Poor</v>
      </c>
      <c r="L11" t="str">
        <f t="shared" si="5"/>
        <v>High Discount</v>
      </c>
      <c r="M11" t="str">
        <f t="shared" si="6"/>
        <v>Low Price</v>
      </c>
      <c r="N11" t="str">
        <f>IF(OR(ISBLANK(tblproducts[[#This Row],[Ratings]])),"No Rating",IF(AND(tblproducts[[#This Row],[Calculated Discount]]&gt; High_dis,tblproducts[[#This Row],[Ratings]]&lt;3),"Yes","No"))</f>
        <v>Yes</v>
      </c>
      <c r="O11" t="str">
        <f>IF(OR(ISBLANK(tblproducts[[#This Row],[Review]])),"No Review",IF(AND(tblproducts[[#This Row],[Calculated Discount]] &gt;High_dis,tblproducts[[#This Row],[Review]]&lt; weak_engagem),"Yes","No"))</f>
        <v>No</v>
      </c>
      <c r="P11" t="str">
        <f>IF(OR(ISBLANK(tblproducts[[#This Row],[Review]])),"Not Provided",IF(AND(tblproducts[[#This Row],[Review]]&gt;=str_engagement,tblproducts[[#This Row],[Ratings]]&gt;=3,tblproducts[[#This Row],[Ratings]]&lt;4),"Yes","No"))</f>
        <v>No</v>
      </c>
      <c r="Q11" t="str">
        <f>IF(OR(ISBLANK(tblproducts[[#This Row],[Review]])),"Not Provided",IF(AND(tblproducts[[#This Row],[Review]]&gt;str_engagement,tblproducts[[#This Row],[Ratings]]&gt;=4),"Yes","No"))</f>
        <v>No</v>
      </c>
    </row>
    <row r="12" spans="1:17" hidden="1" x14ac:dyDescent="0.25">
      <c r="A12" t="s">
        <v>102</v>
      </c>
      <c r="B12" s="3">
        <v>185</v>
      </c>
      <c r="C12" s="3">
        <v>382</v>
      </c>
      <c r="D12" s="1">
        <v>0.52</v>
      </c>
      <c r="E12" s="4">
        <f t="shared" si="0"/>
        <v>0.51570680628272247</v>
      </c>
      <c r="F12">
        <v>9</v>
      </c>
      <c r="G12" s="2">
        <v>4.3</v>
      </c>
      <c r="H12" t="str">
        <f t="shared" si="1"/>
        <v>Ok</v>
      </c>
      <c r="I12" t="str">
        <f t="shared" si="2"/>
        <v>Ok</v>
      </c>
      <c r="J12" t="str">
        <f t="shared" si="3"/>
        <v>Ok</v>
      </c>
      <c r="K12" t="str">
        <f t="shared" si="4"/>
        <v>Excellent</v>
      </c>
      <c r="L12" t="str">
        <f t="shared" si="5"/>
        <v>High Discount</v>
      </c>
      <c r="M12" t="str">
        <f t="shared" si="6"/>
        <v>Low Price</v>
      </c>
      <c r="N12" t="str">
        <f>IF(OR(ISBLANK(tblproducts[[#This Row],[Ratings]])),"No Rating",IF(AND(tblproducts[[#This Row],[Calculated Discount]]&gt; High_dis,tblproducts[[#This Row],[Ratings]]&lt;3),"Yes","No"))</f>
        <v>No</v>
      </c>
      <c r="O12" t="str">
        <f>IF(OR(ISBLANK(tblproducts[[#This Row],[Review]])),"No Review",IF(AND(tblproducts[[#This Row],[Calculated Discount]] &gt;High_dis,tblproducts[[#This Row],[Review]]&lt; weak_engagem),"Yes","No"))</f>
        <v>No</v>
      </c>
      <c r="P12" t="str">
        <f>IF(OR(ISBLANK(tblproducts[[#This Row],[Review]])),"Not Provided",IF(AND(tblproducts[[#This Row],[Review]]&gt;=str_engagement,tblproducts[[#This Row],[Ratings]]&gt;=3,tblproducts[[#This Row],[Ratings]]&lt;4),"Yes","No"))</f>
        <v>No</v>
      </c>
      <c r="Q12" t="str">
        <f>IF(OR(ISBLANK(tblproducts[[#This Row],[Review]])),"Not Provided",IF(AND(tblproducts[[#This Row],[Review]]&gt;str_engagement,tblproducts[[#This Row],[Ratings]]&gt;=4),"Yes","No"))</f>
        <v>No</v>
      </c>
    </row>
    <row r="13" spans="1:17" x14ac:dyDescent="0.25">
      <c r="A13" t="s">
        <v>56</v>
      </c>
      <c r="B13" s="3">
        <v>332</v>
      </c>
      <c r="C13" s="3">
        <v>684</v>
      </c>
      <c r="D13" s="1">
        <v>0.51</v>
      </c>
      <c r="E13" s="4">
        <f t="shared" si="0"/>
        <v>0.51461988304093564</v>
      </c>
      <c r="F13">
        <v>2</v>
      </c>
      <c r="G13" s="2">
        <v>5</v>
      </c>
      <c r="H13" t="str">
        <f t="shared" si="1"/>
        <v>Ok</v>
      </c>
      <c r="I13" t="str">
        <f t="shared" si="2"/>
        <v>Ok</v>
      </c>
      <c r="J13" t="str">
        <f t="shared" si="3"/>
        <v>Ok</v>
      </c>
      <c r="K13" t="str">
        <f t="shared" si="4"/>
        <v>Excellent</v>
      </c>
      <c r="L13" t="str">
        <f t="shared" si="5"/>
        <v>High Discount</v>
      </c>
      <c r="M13" t="str">
        <f t="shared" si="6"/>
        <v>Low Price</v>
      </c>
      <c r="N13" t="str">
        <f>IF(OR(ISBLANK(tblproducts[[#This Row],[Ratings]])),"No Rating",IF(AND(tblproducts[[#This Row],[Calculated Discount]]&gt; High_dis,tblproducts[[#This Row],[Ratings]]&lt;3),"Yes","No"))</f>
        <v>No</v>
      </c>
      <c r="O13" t="str">
        <f>IF(OR(ISBLANK(tblproducts[[#This Row],[Review]])),"No Review",IF(AND(tblproducts[[#This Row],[Calculated Discount]] &gt;High_dis,tblproducts[[#This Row],[Review]]&lt; weak_engagem),"Yes","No"))</f>
        <v>Yes</v>
      </c>
      <c r="P13" t="str">
        <f>IF(OR(ISBLANK(tblproducts[[#This Row],[Review]])),"Not Provided",IF(AND(tblproducts[[#This Row],[Review]]&gt;=str_engagement,tblproducts[[#This Row],[Ratings]]&gt;=3,tblproducts[[#This Row],[Ratings]]&lt;4),"Yes","No"))</f>
        <v>No</v>
      </c>
      <c r="Q13" t="str">
        <f>IF(OR(ISBLANK(tblproducts[[#This Row],[Review]])),"Not Provided",IF(AND(tblproducts[[#This Row],[Review]]&gt;str_engagement,tblproducts[[#This Row],[Ratings]]&gt;=4),"Yes","No"))</f>
        <v>No</v>
      </c>
    </row>
    <row r="14" spans="1:17" hidden="1" x14ac:dyDescent="0.25">
      <c r="A14" t="s">
        <v>209</v>
      </c>
      <c r="B14" s="3">
        <v>1000</v>
      </c>
      <c r="C14" s="3">
        <v>2000</v>
      </c>
      <c r="D14" s="1">
        <v>0.5</v>
      </c>
      <c r="E14" s="4">
        <f t="shared" si="0"/>
        <v>0.5</v>
      </c>
      <c r="F14">
        <v>7</v>
      </c>
      <c r="G14" s="2">
        <v>2.2999999999999998</v>
      </c>
      <c r="H14" t="str">
        <f t="shared" si="1"/>
        <v>Ok</v>
      </c>
      <c r="I14" t="str">
        <f t="shared" si="2"/>
        <v>Ok</v>
      </c>
      <c r="J14" t="str">
        <f t="shared" si="3"/>
        <v>Ok</v>
      </c>
      <c r="K14" t="str">
        <f t="shared" si="4"/>
        <v>Poor</v>
      </c>
      <c r="L14" t="str">
        <f t="shared" si="5"/>
        <v>High Discount</v>
      </c>
      <c r="M14" t="str">
        <f t="shared" si="6"/>
        <v>Medium Price</v>
      </c>
      <c r="N14" t="str">
        <f>IF(OR(ISBLANK(tblproducts[[#This Row],[Ratings]])),"No Rating",IF(AND(tblproducts[[#This Row],[Calculated Discount]]&gt; High_dis,tblproducts[[#This Row],[Ratings]]&lt;3),"Yes","No"))</f>
        <v>Yes</v>
      </c>
      <c r="O14" t="str">
        <f>IF(OR(ISBLANK(tblproducts[[#This Row],[Review]])),"No Review",IF(AND(tblproducts[[#This Row],[Calculated Discount]] &gt;High_dis,tblproducts[[#This Row],[Review]]&lt; weak_engagem),"Yes","No"))</f>
        <v>No</v>
      </c>
      <c r="P14" t="str">
        <f>IF(OR(ISBLANK(tblproducts[[#This Row],[Review]])),"Not Provided",IF(AND(tblproducts[[#This Row],[Review]]&gt;=str_engagement,tblproducts[[#This Row],[Ratings]]&gt;=3,tblproducts[[#This Row],[Ratings]]&lt;4),"Yes","No"))</f>
        <v>No</v>
      </c>
      <c r="Q14" t="str">
        <f>IF(OR(ISBLANK(tblproducts[[#This Row],[Review]])),"Not Provided",IF(AND(tblproducts[[#This Row],[Review]]&gt;str_engagement,tblproducts[[#This Row],[Ratings]]&gt;=4),"Yes","No"))</f>
        <v>No</v>
      </c>
    </row>
    <row r="15" spans="1:17" x14ac:dyDescent="0.25">
      <c r="A15" t="s">
        <v>318</v>
      </c>
      <c r="B15" s="3">
        <v>450</v>
      </c>
      <c r="C15" s="3">
        <v>900</v>
      </c>
      <c r="D15" s="1">
        <v>0.5</v>
      </c>
      <c r="E15" s="4">
        <f t="shared" si="0"/>
        <v>0.5</v>
      </c>
      <c r="F15">
        <v>1</v>
      </c>
      <c r="G15" s="2">
        <v>2</v>
      </c>
      <c r="H15" t="str">
        <f t="shared" si="1"/>
        <v>Ok</v>
      </c>
      <c r="I15" t="str">
        <f t="shared" si="2"/>
        <v>Ok</v>
      </c>
      <c r="J15" t="str">
        <f t="shared" si="3"/>
        <v>Ok</v>
      </c>
      <c r="K15" t="str">
        <f t="shared" si="4"/>
        <v>Poor</v>
      </c>
      <c r="L15" t="str">
        <f t="shared" si="5"/>
        <v>High Discount</v>
      </c>
      <c r="M15" t="str">
        <f t="shared" si="6"/>
        <v>Low Price</v>
      </c>
      <c r="N15" t="str">
        <f>IF(OR(ISBLANK(tblproducts[[#This Row],[Ratings]])),"No Rating",IF(AND(tblproducts[[#This Row],[Calculated Discount]]&gt; High_dis,tblproducts[[#This Row],[Ratings]]&lt;3),"Yes","No"))</f>
        <v>Yes</v>
      </c>
      <c r="O15" t="str">
        <f>IF(OR(ISBLANK(tblproducts[[#This Row],[Review]])),"No Review",IF(AND(tblproducts[[#This Row],[Calculated Discount]] &gt;High_dis,tblproducts[[#This Row],[Review]]&lt; weak_engagem),"Yes","No"))</f>
        <v>Yes</v>
      </c>
      <c r="P15" t="str">
        <f>IF(OR(ISBLANK(tblproducts[[#This Row],[Review]])),"Not Provided",IF(AND(tblproducts[[#This Row],[Review]]&gt;=str_engagement,tblproducts[[#This Row],[Ratings]]&gt;=3,tblproducts[[#This Row],[Ratings]]&lt;4),"Yes","No"))</f>
        <v>No</v>
      </c>
      <c r="Q15" t="str">
        <f>IF(OR(ISBLANK(tblproducts[[#This Row],[Review]])),"Not Provided",IF(AND(tblproducts[[#This Row],[Review]]&gt;str_engagement,tblproducts[[#This Row],[Ratings]]&gt;=4),"Yes","No"))</f>
        <v>No</v>
      </c>
    </row>
    <row r="16" spans="1:17" hidden="1" x14ac:dyDescent="0.25">
      <c r="A16" t="s">
        <v>134</v>
      </c>
      <c r="B16" s="3">
        <v>238</v>
      </c>
      <c r="C16" s="3">
        <v>476</v>
      </c>
      <c r="D16" s="1">
        <v>0.5</v>
      </c>
      <c r="E16" s="4">
        <f t="shared" si="0"/>
        <v>0.5</v>
      </c>
      <c r="H16" t="str">
        <f t="shared" si="1"/>
        <v>Check Rating</v>
      </c>
      <c r="I16" t="str">
        <f t="shared" si="2"/>
        <v>Ok</v>
      </c>
      <c r="J16" t="str">
        <f t="shared" si="3"/>
        <v>Ok</v>
      </c>
      <c r="K16" t="str">
        <f t="shared" si="4"/>
        <v>Missing</v>
      </c>
      <c r="L16" t="str">
        <f t="shared" si="5"/>
        <v>High Discount</v>
      </c>
      <c r="M16" t="str">
        <f t="shared" si="6"/>
        <v>Low Price</v>
      </c>
      <c r="N16" t="str">
        <f>IF(OR(ISBLANK(tblproducts[[#This Row],[Ratings]])),"No Rating",IF(AND(tblproducts[[#This Row],[Calculated Discount]]&gt; High_dis,tblproducts[[#This Row],[Ratings]]&lt;3),"Yes","No"))</f>
        <v>No Rating</v>
      </c>
      <c r="O16" t="str">
        <f>IF(OR(ISBLANK(tblproducts[[#This Row],[Review]])),"No Review",IF(AND(tblproducts[[#This Row],[Calculated Discount]] &gt;High_dis,tblproducts[[#This Row],[Review]]&lt; weak_engagem),"Yes","No"))</f>
        <v>No Review</v>
      </c>
      <c r="P16" t="str">
        <f>IF(OR(ISBLANK(tblproducts[[#This Row],[Review]])),"Not Provided",IF(AND(tblproducts[[#This Row],[Review]]&gt;=str_engagement,tblproducts[[#This Row],[Ratings]]&gt;=3,tblproducts[[#This Row],[Ratings]]&lt;4),"Yes","No"))</f>
        <v>Not Provided</v>
      </c>
      <c r="Q16" t="str">
        <f>IF(OR(ISBLANK(tblproducts[[#This Row],[Review]])),"Not Provided",IF(AND(tblproducts[[#This Row],[Review]]&gt;str_engagement,tblproducts[[#This Row],[Ratings]]&gt;=4),"Yes","No"))</f>
        <v>Not Provided</v>
      </c>
    </row>
    <row r="17" spans="1:17" hidden="1" x14ac:dyDescent="0.25">
      <c r="A17" t="s">
        <v>143</v>
      </c>
      <c r="B17" s="3">
        <v>999</v>
      </c>
      <c r="C17" s="3">
        <v>2000</v>
      </c>
      <c r="D17" s="1">
        <v>0.5</v>
      </c>
      <c r="E17" s="4">
        <f t="shared" si="0"/>
        <v>0.50049999999999994</v>
      </c>
      <c r="H17" t="str">
        <f t="shared" si="1"/>
        <v>Check Rating</v>
      </c>
      <c r="I17" t="str">
        <f t="shared" si="2"/>
        <v>Ok</v>
      </c>
      <c r="J17" t="str">
        <f t="shared" si="3"/>
        <v>Ok</v>
      </c>
      <c r="K17" t="str">
        <f t="shared" si="4"/>
        <v>Missing</v>
      </c>
      <c r="L17" t="str">
        <f t="shared" si="5"/>
        <v>High Discount</v>
      </c>
      <c r="M17" t="str">
        <f t="shared" si="6"/>
        <v>Medium Price</v>
      </c>
      <c r="N17" t="str">
        <f>IF(OR(ISBLANK(tblproducts[[#This Row],[Ratings]])),"No Rating",IF(AND(tblproducts[[#This Row],[Calculated Discount]]&gt; High_dis,tblproducts[[#This Row],[Ratings]]&lt;3),"Yes","No"))</f>
        <v>No Rating</v>
      </c>
      <c r="O17" t="str">
        <f>IF(OR(ISBLANK(tblproducts[[#This Row],[Review]])),"No Review",IF(AND(tblproducts[[#This Row],[Calculated Discount]] &gt;High_dis,tblproducts[[#This Row],[Review]]&lt; weak_engagem),"Yes","No"))</f>
        <v>No Review</v>
      </c>
      <c r="P17" t="str">
        <f>IF(OR(ISBLANK(tblproducts[[#This Row],[Review]])),"Not Provided",IF(AND(tblproducts[[#This Row],[Review]]&gt;=str_engagement,tblproducts[[#This Row],[Ratings]]&gt;=3,tblproducts[[#This Row],[Ratings]]&lt;4),"Yes","No"))</f>
        <v>Not Provided</v>
      </c>
      <c r="Q17" t="str">
        <f>IF(OR(ISBLANK(tblproducts[[#This Row],[Review]])),"Not Provided",IF(AND(tblproducts[[#This Row],[Review]]&gt;str_engagement,tblproducts[[#This Row],[Ratings]]&gt;=4),"Yes","No"))</f>
        <v>Not Provided</v>
      </c>
    </row>
    <row r="18" spans="1:17" hidden="1" x14ac:dyDescent="0.25">
      <c r="A18" t="s">
        <v>157</v>
      </c>
      <c r="B18" s="3">
        <v>299</v>
      </c>
      <c r="C18" s="3">
        <v>600</v>
      </c>
      <c r="D18" s="1">
        <v>0.5</v>
      </c>
      <c r="E18" s="4">
        <f t="shared" si="0"/>
        <v>0.50166666666666671</v>
      </c>
      <c r="H18" t="str">
        <f t="shared" si="1"/>
        <v>Check Rating</v>
      </c>
      <c r="I18" t="str">
        <f t="shared" si="2"/>
        <v>Ok</v>
      </c>
      <c r="J18" t="str">
        <f t="shared" si="3"/>
        <v>Ok</v>
      </c>
      <c r="K18" t="str">
        <f t="shared" si="4"/>
        <v>Missing</v>
      </c>
      <c r="L18" t="str">
        <f t="shared" si="5"/>
        <v>High Discount</v>
      </c>
      <c r="M18" t="str">
        <f t="shared" si="6"/>
        <v>Low Price</v>
      </c>
      <c r="N18" t="str">
        <f>IF(OR(ISBLANK(tblproducts[[#This Row],[Ratings]])),"No Rating",IF(AND(tblproducts[[#This Row],[Calculated Discount]]&gt; High_dis,tblproducts[[#This Row],[Ratings]]&lt;3),"Yes","No"))</f>
        <v>No Rating</v>
      </c>
      <c r="O18" t="str">
        <f>IF(OR(ISBLANK(tblproducts[[#This Row],[Review]])),"No Review",IF(AND(tblproducts[[#This Row],[Calculated Discount]] &gt;High_dis,tblproducts[[#This Row],[Review]]&lt; weak_engagem),"Yes","No"))</f>
        <v>No Review</v>
      </c>
      <c r="P18" t="str">
        <f>IF(OR(ISBLANK(tblproducts[[#This Row],[Review]])),"Not Provided",IF(AND(tblproducts[[#This Row],[Review]]&gt;=str_engagement,tblproducts[[#This Row],[Ratings]]&gt;=3,tblproducts[[#This Row],[Ratings]]&lt;4),"Yes","No"))</f>
        <v>Not Provided</v>
      </c>
      <c r="Q18" t="str">
        <f>IF(OR(ISBLANK(tblproducts[[#This Row],[Review]])),"Not Provided",IF(AND(tblproducts[[#This Row],[Review]]&gt;str_engagement,tblproducts[[#This Row],[Ratings]]&gt;=4),"Yes","No"))</f>
        <v>Not Provided</v>
      </c>
    </row>
    <row r="19" spans="1:17" hidden="1" x14ac:dyDescent="0.25">
      <c r="A19" t="s">
        <v>269</v>
      </c>
      <c r="B19" s="3">
        <v>850</v>
      </c>
      <c r="C19" s="3">
        <v>1700</v>
      </c>
      <c r="D19" s="1">
        <v>0.5</v>
      </c>
      <c r="E19" s="4">
        <f t="shared" si="0"/>
        <v>0.5</v>
      </c>
      <c r="H19" t="str">
        <f t="shared" si="1"/>
        <v>Check Rating</v>
      </c>
      <c r="I19" t="str">
        <f t="shared" si="2"/>
        <v>Ok</v>
      </c>
      <c r="J19" t="str">
        <f t="shared" si="3"/>
        <v>Ok</v>
      </c>
      <c r="K19" t="str">
        <f t="shared" si="4"/>
        <v>Missing</v>
      </c>
      <c r="L19" t="str">
        <f t="shared" si="5"/>
        <v>High Discount</v>
      </c>
      <c r="M19" t="str">
        <f t="shared" si="6"/>
        <v>Medium Price</v>
      </c>
      <c r="N19" t="str">
        <f>IF(OR(ISBLANK(tblproducts[[#This Row],[Ratings]])),"No Rating",IF(AND(tblproducts[[#This Row],[Calculated Discount]]&gt; High_dis,tblproducts[[#This Row],[Ratings]]&lt;3),"Yes","No"))</f>
        <v>No Rating</v>
      </c>
      <c r="O19" t="str">
        <f>IF(OR(ISBLANK(tblproducts[[#This Row],[Review]])),"No Review",IF(AND(tblproducts[[#This Row],[Calculated Discount]] &gt;High_dis,tblproducts[[#This Row],[Review]]&lt; weak_engagem),"Yes","No"))</f>
        <v>No Review</v>
      </c>
      <c r="P19" t="str">
        <f>IF(OR(ISBLANK(tblproducts[[#This Row],[Review]])),"Not Provided",IF(AND(tblproducts[[#This Row],[Review]]&gt;=str_engagement,tblproducts[[#This Row],[Ratings]]&gt;=3,tblproducts[[#This Row],[Ratings]]&lt;4),"Yes","No"))</f>
        <v>Not Provided</v>
      </c>
      <c r="Q19" t="str">
        <f>IF(OR(ISBLANK(tblproducts[[#This Row],[Review]])),"Not Provided",IF(AND(tblproducts[[#This Row],[Review]]&gt;str_engagement,tblproducts[[#This Row],[Ratings]]&gt;=4),"Yes","No"))</f>
        <v>Not Provided</v>
      </c>
    </row>
    <row r="20" spans="1:17" hidden="1" x14ac:dyDescent="0.25">
      <c r="A20" t="s">
        <v>278</v>
      </c>
      <c r="B20" s="3">
        <v>1200</v>
      </c>
      <c r="C20" s="3">
        <v>2400</v>
      </c>
      <c r="D20" s="1">
        <v>0.5</v>
      </c>
      <c r="E20" s="4">
        <f t="shared" si="0"/>
        <v>0.5</v>
      </c>
      <c r="H20" t="str">
        <f t="shared" si="1"/>
        <v>Check Rating</v>
      </c>
      <c r="I20" t="str">
        <f t="shared" si="2"/>
        <v>Ok</v>
      </c>
      <c r="J20" t="str">
        <f t="shared" si="3"/>
        <v>Ok</v>
      </c>
      <c r="K20" t="str">
        <f t="shared" si="4"/>
        <v>Missing</v>
      </c>
      <c r="L20" t="str">
        <f t="shared" si="5"/>
        <v>High Discount</v>
      </c>
      <c r="M20" t="str">
        <f t="shared" si="6"/>
        <v>Medium Price</v>
      </c>
      <c r="N20" t="str">
        <f>IF(OR(ISBLANK(tblproducts[[#This Row],[Ratings]])),"No Rating",IF(AND(tblproducts[[#This Row],[Calculated Discount]]&gt; High_dis,tblproducts[[#This Row],[Ratings]]&lt;3),"Yes","No"))</f>
        <v>No Rating</v>
      </c>
      <c r="O20" t="str">
        <f>IF(OR(ISBLANK(tblproducts[[#This Row],[Review]])),"No Review",IF(AND(tblproducts[[#This Row],[Calculated Discount]] &gt;High_dis,tblproducts[[#This Row],[Review]]&lt; weak_engagem),"Yes","No"))</f>
        <v>No Review</v>
      </c>
      <c r="P20" t="str">
        <f>IF(OR(ISBLANK(tblproducts[[#This Row],[Review]])),"Not Provided",IF(AND(tblproducts[[#This Row],[Review]]&gt;=str_engagement,tblproducts[[#This Row],[Ratings]]&gt;=3,tblproducts[[#This Row],[Ratings]]&lt;4),"Yes","No"))</f>
        <v>Not Provided</v>
      </c>
      <c r="Q20" t="str">
        <f>IF(OR(ISBLANK(tblproducts[[#This Row],[Review]])),"Not Provided",IF(AND(tblproducts[[#This Row],[Review]]&gt;str_engagement,tblproducts[[#This Row],[Ratings]]&gt;=4),"Yes","No"))</f>
        <v>Not Provided</v>
      </c>
    </row>
    <row r="21" spans="1:17" hidden="1" x14ac:dyDescent="0.25">
      <c r="A21" t="s">
        <v>194</v>
      </c>
      <c r="B21" s="3">
        <v>445</v>
      </c>
      <c r="C21" s="3">
        <v>873</v>
      </c>
      <c r="D21" s="1">
        <v>0.49</v>
      </c>
      <c r="E21" s="4">
        <f t="shared" si="0"/>
        <v>0.49026345933562426</v>
      </c>
      <c r="F21">
        <v>69</v>
      </c>
      <c r="G21" s="2">
        <v>2.8</v>
      </c>
      <c r="H21" t="str">
        <f t="shared" si="1"/>
        <v>Ok</v>
      </c>
      <c r="I21" t="str">
        <f t="shared" si="2"/>
        <v>Ok</v>
      </c>
      <c r="J21" t="str">
        <f t="shared" si="3"/>
        <v>Ok</v>
      </c>
      <c r="K21" t="str">
        <f t="shared" si="4"/>
        <v>Poor</v>
      </c>
      <c r="L21" t="str">
        <f t="shared" si="5"/>
        <v>High Discount</v>
      </c>
      <c r="M21" t="str">
        <f t="shared" si="6"/>
        <v>Low Price</v>
      </c>
      <c r="N21" t="str">
        <f>IF(OR(ISBLANK(tblproducts[[#This Row],[Ratings]])),"No Rating",IF(AND(tblproducts[[#This Row],[Calculated Discount]]&gt; High_dis,tblproducts[[#This Row],[Ratings]]&lt;3),"Yes","No"))</f>
        <v>Yes</v>
      </c>
      <c r="O21" t="str">
        <f>IF(OR(ISBLANK(tblproducts[[#This Row],[Review]])),"No Review",IF(AND(tblproducts[[#This Row],[Calculated Discount]] &gt;High_dis,tblproducts[[#This Row],[Review]]&lt; weak_engagem),"Yes","No"))</f>
        <v>No</v>
      </c>
      <c r="P21" t="str">
        <f>IF(OR(ISBLANK(tblproducts[[#This Row],[Review]])),"Not Provided",IF(AND(tblproducts[[#This Row],[Review]]&gt;=str_engagement,tblproducts[[#This Row],[Ratings]]&gt;=3,tblproducts[[#This Row],[Ratings]]&lt;4),"Yes","No"))</f>
        <v>No</v>
      </c>
      <c r="Q21" t="str">
        <f>IF(OR(ISBLANK(tblproducts[[#This Row],[Review]])),"Not Provided",IF(AND(tblproducts[[#This Row],[Review]]&gt;str_engagement,tblproducts[[#This Row],[Ratings]]&gt;=4),"Yes","No"))</f>
        <v>No</v>
      </c>
    </row>
    <row r="22" spans="1:17" hidden="1" x14ac:dyDescent="0.25">
      <c r="A22" t="s">
        <v>68</v>
      </c>
      <c r="B22" s="3">
        <v>998</v>
      </c>
      <c r="C22" s="3">
        <v>1966</v>
      </c>
      <c r="D22" s="1">
        <v>0.49</v>
      </c>
      <c r="E22" s="4">
        <f t="shared" si="0"/>
        <v>0.49237029501525942</v>
      </c>
      <c r="F22">
        <v>44</v>
      </c>
      <c r="G22" s="2">
        <v>4.5999999999999996</v>
      </c>
      <c r="H22" t="str">
        <f t="shared" si="1"/>
        <v>Ok</v>
      </c>
      <c r="I22" t="str">
        <f t="shared" si="2"/>
        <v>Ok</v>
      </c>
      <c r="J22" t="str">
        <f t="shared" si="3"/>
        <v>Ok</v>
      </c>
      <c r="K22" t="str">
        <f t="shared" si="4"/>
        <v>Excellent</v>
      </c>
      <c r="L22" t="str">
        <f t="shared" si="5"/>
        <v>High Discount</v>
      </c>
      <c r="M22" t="str">
        <f t="shared" si="6"/>
        <v>Medium Price</v>
      </c>
      <c r="N22" t="str">
        <f>IF(OR(ISBLANK(tblproducts[[#This Row],[Ratings]])),"No Rating",IF(AND(tblproducts[[#This Row],[Calculated Discount]]&gt; High_dis,tblproducts[[#This Row],[Ratings]]&lt;3),"Yes","No"))</f>
        <v>No</v>
      </c>
      <c r="O22" t="str">
        <f>IF(OR(ISBLANK(tblproducts[[#This Row],[Review]])),"No Review",IF(AND(tblproducts[[#This Row],[Calculated Discount]] &gt;High_dis,tblproducts[[#This Row],[Review]]&lt; weak_engagem),"Yes","No"))</f>
        <v>No</v>
      </c>
      <c r="P22" t="str">
        <f>IF(OR(ISBLANK(tblproducts[[#This Row],[Review]])),"Not Provided",IF(AND(tblproducts[[#This Row],[Review]]&gt;=str_engagement,tblproducts[[#This Row],[Ratings]]&gt;=3,tblproducts[[#This Row],[Ratings]]&lt;4),"Yes","No"))</f>
        <v>No</v>
      </c>
      <c r="Q22" t="str">
        <f>IF(OR(ISBLANK(tblproducts[[#This Row],[Review]])),"Not Provided",IF(AND(tblproducts[[#This Row],[Review]]&gt;str_engagement,tblproducts[[#This Row],[Ratings]]&gt;=4),"Yes","No"))</f>
        <v>Yes</v>
      </c>
    </row>
    <row r="23" spans="1:17" x14ac:dyDescent="0.25">
      <c r="A23" t="s">
        <v>63</v>
      </c>
      <c r="B23" s="3">
        <v>2025</v>
      </c>
      <c r="C23" s="3">
        <v>3971</v>
      </c>
      <c r="D23" s="1">
        <v>0.49</v>
      </c>
      <c r="E23" s="4">
        <f t="shared" si="0"/>
        <v>0.49005288340468395</v>
      </c>
      <c r="F23">
        <v>3</v>
      </c>
      <c r="G23" s="2">
        <v>5</v>
      </c>
      <c r="H23" t="str">
        <f t="shared" si="1"/>
        <v>Ok</v>
      </c>
      <c r="I23" t="str">
        <f t="shared" si="2"/>
        <v>Ok</v>
      </c>
      <c r="J23" t="str">
        <f t="shared" si="3"/>
        <v>Ok</v>
      </c>
      <c r="K23" t="str">
        <f t="shared" si="4"/>
        <v>Excellent</v>
      </c>
      <c r="L23" t="str">
        <f t="shared" si="5"/>
        <v>High Discount</v>
      </c>
      <c r="M23" t="str">
        <f t="shared" si="6"/>
        <v>High Price</v>
      </c>
      <c r="N23" t="str">
        <f>IF(OR(ISBLANK(tblproducts[[#This Row],[Ratings]])),"No Rating",IF(AND(tblproducts[[#This Row],[Calculated Discount]]&gt; High_dis,tblproducts[[#This Row],[Ratings]]&lt;3),"Yes","No"))</f>
        <v>No</v>
      </c>
      <c r="O23" t="str">
        <f>IF(OR(ISBLANK(tblproducts[[#This Row],[Review]])),"No Review",IF(AND(tblproducts[[#This Row],[Calculated Discount]] &gt;High_dis,tblproducts[[#This Row],[Review]]&lt; weak_engagem),"Yes","No"))</f>
        <v>Yes</v>
      </c>
      <c r="P23" t="str">
        <f>IF(OR(ISBLANK(tblproducts[[#This Row],[Review]])),"Not Provided",IF(AND(tblproducts[[#This Row],[Review]]&gt;=str_engagement,tblproducts[[#This Row],[Ratings]]&gt;=3,tblproducts[[#This Row],[Ratings]]&lt;4),"Yes","No"))</f>
        <v>No</v>
      </c>
      <c r="Q23" t="str">
        <f>IF(OR(ISBLANK(tblproducts[[#This Row],[Review]])),"Not Provided",IF(AND(tblproducts[[#This Row],[Review]]&gt;str_engagement,tblproducts[[#This Row],[Ratings]]&gt;=4),"Yes","No"))</f>
        <v>No</v>
      </c>
    </row>
    <row r="24" spans="1:17" x14ac:dyDescent="0.25">
      <c r="A24" t="s">
        <v>245</v>
      </c>
      <c r="B24" s="3">
        <v>979</v>
      </c>
      <c r="C24" s="3">
        <v>1920</v>
      </c>
      <c r="D24" s="1">
        <v>0.49</v>
      </c>
      <c r="E24" s="4">
        <f t="shared" si="0"/>
        <v>0.49010416666666667</v>
      </c>
      <c r="F24">
        <v>1</v>
      </c>
      <c r="G24" s="2">
        <v>5</v>
      </c>
      <c r="H24" t="str">
        <f t="shared" si="1"/>
        <v>Ok</v>
      </c>
      <c r="I24" t="str">
        <f t="shared" si="2"/>
        <v>Ok</v>
      </c>
      <c r="J24" t="str">
        <f t="shared" si="3"/>
        <v>Ok</v>
      </c>
      <c r="K24" t="str">
        <f t="shared" si="4"/>
        <v>Excellent</v>
      </c>
      <c r="L24" t="str">
        <f t="shared" si="5"/>
        <v>High Discount</v>
      </c>
      <c r="M24" t="str">
        <f t="shared" si="6"/>
        <v>Medium Price</v>
      </c>
      <c r="N24" t="str">
        <f>IF(OR(ISBLANK(tblproducts[[#This Row],[Ratings]])),"No Rating",IF(AND(tblproducts[[#This Row],[Calculated Discount]]&gt; High_dis,tblproducts[[#This Row],[Ratings]]&lt;3),"Yes","No"))</f>
        <v>No</v>
      </c>
      <c r="O24" t="str">
        <f>IF(OR(ISBLANK(tblproducts[[#This Row],[Review]])),"No Review",IF(AND(tblproducts[[#This Row],[Calculated Discount]] &gt;High_dis,tblproducts[[#This Row],[Review]]&lt; weak_engagem),"Yes","No"))</f>
        <v>Yes</v>
      </c>
      <c r="P24" t="str">
        <f>IF(OR(ISBLANK(tblproducts[[#This Row],[Review]])),"Not Provided",IF(AND(tblproducts[[#This Row],[Review]]&gt;=str_engagement,tblproducts[[#This Row],[Ratings]]&gt;=3,tblproducts[[#This Row],[Ratings]]&lt;4),"Yes","No"))</f>
        <v>No</v>
      </c>
      <c r="Q24" t="str">
        <f>IF(OR(ISBLANK(tblproducts[[#This Row],[Review]])),"Not Provided",IF(AND(tblproducts[[#This Row],[Review]]&gt;str_engagement,tblproducts[[#This Row],[Ratings]]&gt;=4),"Yes","No"))</f>
        <v>No</v>
      </c>
    </row>
    <row r="25" spans="1:17" hidden="1" x14ac:dyDescent="0.25">
      <c r="A25" t="s">
        <v>253</v>
      </c>
      <c r="B25" s="3">
        <v>330</v>
      </c>
      <c r="C25" s="3">
        <v>647</v>
      </c>
      <c r="D25" s="1">
        <v>0.49</v>
      </c>
      <c r="E25" s="4">
        <f t="shared" si="0"/>
        <v>0.48995363214837712</v>
      </c>
      <c r="F25">
        <v>1</v>
      </c>
      <c r="G25" s="2">
        <v>4</v>
      </c>
      <c r="H25" t="str">
        <f t="shared" si="1"/>
        <v>Ok</v>
      </c>
      <c r="I25" t="str">
        <f t="shared" si="2"/>
        <v>Ok</v>
      </c>
      <c r="J25" t="str">
        <f t="shared" si="3"/>
        <v>Ok</v>
      </c>
      <c r="K25" t="str">
        <f t="shared" si="4"/>
        <v>Excellent</v>
      </c>
      <c r="L25" t="str">
        <f t="shared" si="5"/>
        <v>High Discount</v>
      </c>
      <c r="M25" t="str">
        <f t="shared" si="6"/>
        <v>Low Price</v>
      </c>
      <c r="N25" t="str">
        <f>IF(OR(ISBLANK(tblproducts[[#This Row],[Ratings]])),"No Rating",IF(AND(tblproducts[[#This Row],[Calculated Discount]]&gt; High_dis,tblproducts[[#This Row],[Ratings]]&lt;3),"Yes","No"))</f>
        <v>No</v>
      </c>
      <c r="O25" t="str">
        <f>IF(OR(ISBLANK(tblproducts[[#This Row],[Review]])),"No Review",IF(AND(tblproducts[[#This Row],[Calculated Discount]] &gt;High_dis,tblproducts[[#This Row],[Review]]&lt; weak_engagem),"Yes","No"))</f>
        <v>No</v>
      </c>
      <c r="P25" t="str">
        <f>IF(OR(ISBLANK(tblproducts[[#This Row],[Review]])),"Not Provided",IF(AND(tblproducts[[#This Row],[Review]]&gt;=str_engagement,tblproducts[[#This Row],[Ratings]]&gt;=3,tblproducts[[#This Row],[Ratings]]&lt;4),"Yes","No"))</f>
        <v>No</v>
      </c>
      <c r="Q25" t="str">
        <f>IF(OR(ISBLANK(tblproducts[[#This Row],[Review]])),"Not Provided",IF(AND(tblproducts[[#This Row],[Review]]&gt;str_engagement,tblproducts[[#This Row],[Ratings]]&gt;=4),"Yes","No"))</f>
        <v>No</v>
      </c>
    </row>
    <row r="26" spans="1:17" hidden="1" x14ac:dyDescent="0.25">
      <c r="A26" t="s">
        <v>131</v>
      </c>
      <c r="B26" s="3">
        <v>475</v>
      </c>
      <c r="C26" s="3">
        <v>931</v>
      </c>
      <c r="D26" s="1">
        <v>0.49</v>
      </c>
      <c r="E26" s="4">
        <f t="shared" si="0"/>
        <v>0.48979591836734693</v>
      </c>
      <c r="H26" t="str">
        <f t="shared" si="1"/>
        <v>Check Rating</v>
      </c>
      <c r="I26" t="str">
        <f t="shared" si="2"/>
        <v>Ok</v>
      </c>
      <c r="J26" t="str">
        <f t="shared" si="3"/>
        <v>Ok</v>
      </c>
      <c r="K26" t="str">
        <f t="shared" si="4"/>
        <v>Missing</v>
      </c>
      <c r="L26" t="str">
        <f t="shared" si="5"/>
        <v>High Discount</v>
      </c>
      <c r="M26" t="str">
        <f t="shared" si="6"/>
        <v>Low Price</v>
      </c>
      <c r="N26" t="str">
        <f>IF(OR(ISBLANK(tblproducts[[#This Row],[Ratings]])),"No Rating",IF(AND(tblproducts[[#This Row],[Calculated Discount]]&gt; High_dis,tblproducts[[#This Row],[Ratings]]&lt;3),"Yes","No"))</f>
        <v>No Rating</v>
      </c>
      <c r="O26" t="str">
        <f>IF(OR(ISBLANK(tblproducts[[#This Row],[Review]])),"No Review",IF(AND(tblproducts[[#This Row],[Calculated Discount]] &gt;High_dis,tblproducts[[#This Row],[Review]]&lt; weak_engagem),"Yes","No"))</f>
        <v>No Review</v>
      </c>
      <c r="P26" t="str">
        <f>IF(OR(ISBLANK(tblproducts[[#This Row],[Review]])),"Not Provided",IF(AND(tblproducts[[#This Row],[Review]]&gt;=str_engagement,tblproducts[[#This Row],[Ratings]]&gt;=3,tblproducts[[#This Row],[Ratings]]&lt;4),"Yes","No"))</f>
        <v>Not Provided</v>
      </c>
      <c r="Q26" t="str">
        <f>IF(OR(ISBLANK(tblproducts[[#This Row],[Review]])),"Not Provided",IF(AND(tblproducts[[#This Row],[Review]]&gt;str_engagement,tblproducts[[#This Row],[Ratings]]&gt;=4),"Yes","No"))</f>
        <v>Not Provided</v>
      </c>
    </row>
    <row r="27" spans="1:17" hidden="1" x14ac:dyDescent="0.25">
      <c r="A27" t="s">
        <v>148</v>
      </c>
      <c r="B27" s="3">
        <v>671</v>
      </c>
      <c r="C27" s="3">
        <v>1316</v>
      </c>
      <c r="D27" s="1">
        <v>0.49</v>
      </c>
      <c r="E27" s="4">
        <f t="shared" si="0"/>
        <v>0.49012158054711247</v>
      </c>
      <c r="H27" t="str">
        <f t="shared" si="1"/>
        <v>Check Rating</v>
      </c>
      <c r="I27" t="str">
        <f t="shared" si="2"/>
        <v>Ok</v>
      </c>
      <c r="J27" t="str">
        <f t="shared" si="3"/>
        <v>Ok</v>
      </c>
      <c r="K27" t="str">
        <f t="shared" si="4"/>
        <v>Missing</v>
      </c>
      <c r="L27" t="str">
        <f t="shared" si="5"/>
        <v>High Discount</v>
      </c>
      <c r="M27" t="str">
        <f t="shared" si="6"/>
        <v>Medium Price</v>
      </c>
      <c r="N27" t="str">
        <f>IF(OR(ISBLANK(tblproducts[[#This Row],[Ratings]])),"No Rating",IF(AND(tblproducts[[#This Row],[Calculated Discount]]&gt; High_dis,tblproducts[[#This Row],[Ratings]]&lt;3),"Yes","No"))</f>
        <v>No Rating</v>
      </c>
      <c r="O27" t="str">
        <f>IF(OR(ISBLANK(tblproducts[[#This Row],[Review]])),"No Review",IF(AND(tblproducts[[#This Row],[Calculated Discount]] &gt;High_dis,tblproducts[[#This Row],[Review]]&lt; weak_engagem),"Yes","No"))</f>
        <v>No Review</v>
      </c>
      <c r="P27" t="str">
        <f>IF(OR(ISBLANK(tblproducts[[#This Row],[Review]])),"Not Provided",IF(AND(tblproducts[[#This Row],[Review]]&gt;=str_engagement,tblproducts[[#This Row],[Ratings]]&gt;=3,tblproducts[[#This Row],[Ratings]]&lt;4),"Yes","No"))</f>
        <v>Not Provided</v>
      </c>
      <c r="Q27" t="str">
        <f>IF(OR(ISBLANK(tblproducts[[#This Row],[Review]])),"Not Provided",IF(AND(tblproducts[[#This Row],[Review]]&gt;str_engagement,tblproducts[[#This Row],[Ratings]]&gt;=4),"Yes","No"))</f>
        <v>Not Provided</v>
      </c>
    </row>
    <row r="28" spans="1:17" hidden="1" x14ac:dyDescent="0.25">
      <c r="A28" t="s">
        <v>175</v>
      </c>
      <c r="B28" s="3">
        <v>799</v>
      </c>
      <c r="C28" s="3">
        <v>1567</v>
      </c>
      <c r="D28" s="1">
        <v>0.49</v>
      </c>
      <c r="E28" s="4">
        <f t="shared" si="0"/>
        <v>0.49010848755583919</v>
      </c>
      <c r="H28" t="str">
        <f t="shared" si="1"/>
        <v>Check Rating</v>
      </c>
      <c r="I28" t="str">
        <f t="shared" si="2"/>
        <v>Ok</v>
      </c>
      <c r="J28" t="str">
        <f t="shared" si="3"/>
        <v>Ok</v>
      </c>
      <c r="K28" t="str">
        <f t="shared" si="4"/>
        <v>Missing</v>
      </c>
      <c r="L28" t="str">
        <f t="shared" si="5"/>
        <v>High Discount</v>
      </c>
      <c r="M28" t="str">
        <f t="shared" si="6"/>
        <v>Medium Price</v>
      </c>
      <c r="N28" t="str">
        <f>IF(OR(ISBLANK(tblproducts[[#This Row],[Ratings]])),"No Rating",IF(AND(tblproducts[[#This Row],[Calculated Discount]]&gt; High_dis,tblproducts[[#This Row],[Ratings]]&lt;3),"Yes","No"))</f>
        <v>No Rating</v>
      </c>
      <c r="O28" t="str">
        <f>IF(OR(ISBLANK(tblproducts[[#This Row],[Review]])),"No Review",IF(AND(tblproducts[[#This Row],[Calculated Discount]] &gt;High_dis,tblproducts[[#This Row],[Review]]&lt; weak_engagem),"Yes","No"))</f>
        <v>No Review</v>
      </c>
      <c r="P28" t="str">
        <f>IF(OR(ISBLANK(tblproducts[[#This Row],[Review]])),"Not Provided",IF(AND(tblproducts[[#This Row],[Review]]&gt;=str_engagement,tblproducts[[#This Row],[Ratings]]&gt;=3,tblproducts[[#This Row],[Ratings]]&lt;4),"Yes","No"))</f>
        <v>Not Provided</v>
      </c>
      <c r="Q28" t="str">
        <f>IF(OR(ISBLANK(tblproducts[[#This Row],[Review]])),"Not Provided",IF(AND(tblproducts[[#This Row],[Review]]&gt;str_engagement,tblproducts[[#This Row],[Ratings]]&gt;=4),"Yes","No"))</f>
        <v>Not Provided</v>
      </c>
    </row>
    <row r="29" spans="1:17" hidden="1" x14ac:dyDescent="0.25">
      <c r="A29" t="s">
        <v>240</v>
      </c>
      <c r="B29" s="3">
        <v>230</v>
      </c>
      <c r="C29" s="3">
        <v>450</v>
      </c>
      <c r="D29" s="1">
        <v>0.49</v>
      </c>
      <c r="E29" s="4">
        <f t="shared" si="0"/>
        <v>0.48888888888888887</v>
      </c>
      <c r="H29" t="str">
        <f t="shared" si="1"/>
        <v>Check Rating</v>
      </c>
      <c r="I29" t="str">
        <f t="shared" si="2"/>
        <v>Ok</v>
      </c>
      <c r="J29" t="str">
        <f t="shared" si="3"/>
        <v>Ok</v>
      </c>
      <c r="K29" t="str">
        <f t="shared" si="4"/>
        <v>Missing</v>
      </c>
      <c r="L29" t="str">
        <f t="shared" si="5"/>
        <v>High Discount</v>
      </c>
      <c r="M29" t="str">
        <f t="shared" si="6"/>
        <v>Low Price</v>
      </c>
      <c r="N29" t="str">
        <f>IF(OR(ISBLANK(tblproducts[[#This Row],[Ratings]])),"No Rating",IF(AND(tblproducts[[#This Row],[Calculated Discount]]&gt; High_dis,tblproducts[[#This Row],[Ratings]]&lt;3),"Yes","No"))</f>
        <v>No Rating</v>
      </c>
      <c r="O29" t="str">
        <f>IF(OR(ISBLANK(tblproducts[[#This Row],[Review]])),"No Review",IF(AND(tblproducts[[#This Row],[Calculated Discount]] &gt;High_dis,tblproducts[[#This Row],[Review]]&lt; weak_engagem),"Yes","No"))</f>
        <v>No Review</v>
      </c>
      <c r="P29" t="str">
        <f>IF(OR(ISBLANK(tblproducts[[#This Row],[Review]])),"Not Provided",IF(AND(tblproducts[[#This Row],[Review]]&gt;=str_engagement,tblproducts[[#This Row],[Ratings]]&gt;=3,tblproducts[[#This Row],[Ratings]]&lt;4),"Yes","No"))</f>
        <v>Not Provided</v>
      </c>
      <c r="Q29" t="str">
        <f>IF(OR(ISBLANK(tblproducts[[#This Row],[Review]])),"Not Provided",IF(AND(tblproducts[[#This Row],[Review]]&gt;str_engagement,tblproducts[[#This Row],[Ratings]]&gt;=4),"Yes","No"))</f>
        <v>Not Provided</v>
      </c>
    </row>
    <row r="30" spans="1:17" hidden="1" x14ac:dyDescent="0.25">
      <c r="A30" t="s">
        <v>154</v>
      </c>
      <c r="B30" s="3">
        <v>176</v>
      </c>
      <c r="C30" s="3">
        <v>345</v>
      </c>
      <c r="D30" s="1">
        <v>0.49</v>
      </c>
      <c r="E30" s="4">
        <f t="shared" si="0"/>
        <v>0.48985507246376814</v>
      </c>
      <c r="H30" t="str">
        <f t="shared" si="1"/>
        <v>Check Rating</v>
      </c>
      <c r="I30" t="str">
        <f t="shared" si="2"/>
        <v>Ok</v>
      </c>
      <c r="J30" t="str">
        <f t="shared" si="3"/>
        <v>Ok</v>
      </c>
      <c r="K30" t="str">
        <f t="shared" si="4"/>
        <v>Missing</v>
      </c>
      <c r="L30" t="str">
        <f t="shared" si="5"/>
        <v>High Discount</v>
      </c>
      <c r="M30" t="str">
        <f t="shared" si="6"/>
        <v>Low Price</v>
      </c>
      <c r="N30" t="str">
        <f>IF(OR(ISBLANK(tblproducts[[#This Row],[Ratings]])),"No Rating",IF(AND(tblproducts[[#This Row],[Calculated Discount]]&gt; High_dis,tblproducts[[#This Row],[Ratings]]&lt;3),"Yes","No"))</f>
        <v>No Rating</v>
      </c>
      <c r="O30" t="str">
        <f>IF(OR(ISBLANK(tblproducts[[#This Row],[Review]])),"No Review",IF(AND(tblproducts[[#This Row],[Calculated Discount]] &gt;High_dis,tblproducts[[#This Row],[Review]]&lt; weak_engagem),"Yes","No"))</f>
        <v>No Review</v>
      </c>
      <c r="P30" t="str">
        <f>IF(OR(ISBLANK(tblproducts[[#This Row],[Review]])),"Not Provided",IF(AND(tblproducts[[#This Row],[Review]]&gt;=str_engagement,tblproducts[[#This Row],[Ratings]]&gt;=3,tblproducts[[#This Row],[Ratings]]&lt;4),"Yes","No"))</f>
        <v>Not Provided</v>
      </c>
      <c r="Q30" t="str">
        <f>IF(OR(ISBLANK(tblproducts[[#This Row],[Review]])),"Not Provided",IF(AND(tblproducts[[#This Row],[Review]]&gt;str_engagement,tblproducts[[#This Row],[Ratings]]&gt;=4),"Yes","No"))</f>
        <v>Not Provided</v>
      </c>
    </row>
    <row r="31" spans="1:17" hidden="1" x14ac:dyDescent="0.25">
      <c r="A31" t="s">
        <v>258</v>
      </c>
      <c r="B31" s="3">
        <v>274</v>
      </c>
      <c r="C31" s="3">
        <v>537</v>
      </c>
      <c r="D31" s="1">
        <v>0.49</v>
      </c>
      <c r="E31" s="4">
        <f t="shared" si="0"/>
        <v>0.48975791433891991</v>
      </c>
      <c r="H31" t="str">
        <f t="shared" si="1"/>
        <v>Check Rating</v>
      </c>
      <c r="I31" t="str">
        <f t="shared" si="2"/>
        <v>Ok</v>
      </c>
      <c r="J31" t="str">
        <f t="shared" si="3"/>
        <v>Ok</v>
      </c>
      <c r="K31" t="str">
        <f t="shared" si="4"/>
        <v>Missing</v>
      </c>
      <c r="L31" t="str">
        <f t="shared" si="5"/>
        <v>High Discount</v>
      </c>
      <c r="M31" t="str">
        <f t="shared" si="6"/>
        <v>Low Price</v>
      </c>
      <c r="N31" t="str">
        <f>IF(OR(ISBLANK(tblproducts[[#This Row],[Ratings]])),"No Rating",IF(AND(tblproducts[[#This Row],[Calculated Discount]]&gt; High_dis,tblproducts[[#This Row],[Ratings]]&lt;3),"Yes","No"))</f>
        <v>No Rating</v>
      </c>
      <c r="O31" t="str">
        <f>IF(OR(ISBLANK(tblproducts[[#This Row],[Review]])),"No Review",IF(AND(tblproducts[[#This Row],[Calculated Discount]] &gt;High_dis,tblproducts[[#This Row],[Review]]&lt; weak_engagem),"Yes","No"))</f>
        <v>No Review</v>
      </c>
      <c r="P31" t="str">
        <f>IF(OR(ISBLANK(tblproducts[[#This Row],[Review]])),"Not Provided",IF(AND(tblproducts[[#This Row],[Review]]&gt;=str_engagement,tblproducts[[#This Row],[Ratings]]&gt;=3,tblproducts[[#This Row],[Ratings]]&lt;4),"Yes","No"))</f>
        <v>Not Provided</v>
      </c>
      <c r="Q31" t="str">
        <f>IF(OR(ISBLANK(tblproducts[[#This Row],[Review]])),"Not Provided",IF(AND(tblproducts[[#This Row],[Review]]&gt;str_engagement,tblproducts[[#This Row],[Ratings]]&gt;=4),"Yes","No"))</f>
        <v>Not Provided</v>
      </c>
    </row>
    <row r="32" spans="1:17" hidden="1" x14ac:dyDescent="0.25">
      <c r="A32" t="s">
        <v>175</v>
      </c>
      <c r="B32" s="3">
        <v>657</v>
      </c>
      <c r="C32" s="3">
        <v>1288</v>
      </c>
      <c r="D32" s="1">
        <v>0.49</v>
      </c>
      <c r="E32" s="4">
        <f t="shared" si="0"/>
        <v>0.48990683229813664</v>
      </c>
      <c r="H32" t="str">
        <f t="shared" si="1"/>
        <v>Check Rating</v>
      </c>
      <c r="I32" t="str">
        <f t="shared" si="2"/>
        <v>Ok</v>
      </c>
      <c r="J32" t="str">
        <f t="shared" si="3"/>
        <v>Ok</v>
      </c>
      <c r="K32" t="str">
        <f t="shared" si="4"/>
        <v>Missing</v>
      </c>
      <c r="L32" t="str">
        <f t="shared" si="5"/>
        <v>High Discount</v>
      </c>
      <c r="M32" t="str">
        <f t="shared" si="6"/>
        <v>Medium Price</v>
      </c>
      <c r="N32" t="str">
        <f>IF(OR(ISBLANK(tblproducts[[#This Row],[Ratings]])),"No Rating",IF(AND(tblproducts[[#This Row],[Calculated Discount]]&gt; High_dis,tblproducts[[#This Row],[Ratings]]&lt;3),"Yes","No"))</f>
        <v>No Rating</v>
      </c>
      <c r="O32" t="str">
        <f>IF(OR(ISBLANK(tblproducts[[#This Row],[Review]])),"No Review",IF(AND(tblproducts[[#This Row],[Calculated Discount]] &gt;High_dis,tblproducts[[#This Row],[Review]]&lt; weak_engagem),"Yes","No"))</f>
        <v>No Review</v>
      </c>
      <c r="P32" t="str">
        <f>IF(OR(ISBLANK(tblproducts[[#This Row],[Review]])),"Not Provided",IF(AND(tblproducts[[#This Row],[Review]]&gt;=str_engagement,tblproducts[[#This Row],[Ratings]]&gt;=3,tblproducts[[#This Row],[Ratings]]&lt;4),"Yes","No"))</f>
        <v>Not Provided</v>
      </c>
      <c r="Q32" t="str">
        <f>IF(OR(ISBLANK(tblproducts[[#This Row],[Review]])),"Not Provided",IF(AND(tblproducts[[#This Row],[Review]]&gt;str_engagement,tblproducts[[#This Row],[Ratings]]&gt;=4),"Yes","No"))</f>
        <v>Not Provided</v>
      </c>
    </row>
    <row r="33" spans="1:17" hidden="1" x14ac:dyDescent="0.25">
      <c r="A33" t="s">
        <v>284</v>
      </c>
      <c r="B33" s="3">
        <v>248</v>
      </c>
      <c r="C33" s="3">
        <v>486</v>
      </c>
      <c r="D33" s="1">
        <v>0.49</v>
      </c>
      <c r="E33" s="4">
        <f t="shared" si="0"/>
        <v>0.48971193415637859</v>
      </c>
      <c r="H33" t="str">
        <f t="shared" si="1"/>
        <v>Check Rating</v>
      </c>
      <c r="I33" t="str">
        <f t="shared" si="2"/>
        <v>Ok</v>
      </c>
      <c r="J33" t="str">
        <f t="shared" si="3"/>
        <v>Ok</v>
      </c>
      <c r="K33" t="str">
        <f t="shared" si="4"/>
        <v>Missing</v>
      </c>
      <c r="L33" t="str">
        <f t="shared" si="5"/>
        <v>High Discount</v>
      </c>
      <c r="M33" t="str">
        <f t="shared" si="6"/>
        <v>Low Price</v>
      </c>
      <c r="N33" t="str">
        <f>IF(OR(ISBLANK(tblproducts[[#This Row],[Ratings]])),"No Rating",IF(AND(tblproducts[[#This Row],[Calculated Discount]]&gt; High_dis,tblproducts[[#This Row],[Ratings]]&lt;3),"Yes","No"))</f>
        <v>No Rating</v>
      </c>
      <c r="O33" t="str">
        <f>IF(OR(ISBLANK(tblproducts[[#This Row],[Review]])),"No Review",IF(AND(tblproducts[[#This Row],[Calculated Discount]] &gt;High_dis,tblproducts[[#This Row],[Review]]&lt; weak_engagem),"Yes","No"))</f>
        <v>No Review</v>
      </c>
      <c r="P33" t="str">
        <f>IF(OR(ISBLANK(tblproducts[[#This Row],[Review]])),"Not Provided",IF(AND(tblproducts[[#This Row],[Review]]&gt;=str_engagement,tblproducts[[#This Row],[Ratings]]&gt;=3,tblproducts[[#This Row],[Ratings]]&lt;4),"Yes","No"))</f>
        <v>Not Provided</v>
      </c>
      <c r="Q33" t="str">
        <f>IF(OR(ISBLANK(tblproducts[[#This Row],[Review]])),"Not Provided",IF(AND(tblproducts[[#This Row],[Review]]&gt;str_engagement,tblproducts[[#This Row],[Ratings]]&gt;=4),"Yes","No"))</f>
        <v>Not Provided</v>
      </c>
    </row>
    <row r="34" spans="1:17" hidden="1" x14ac:dyDescent="0.25">
      <c r="A34" t="s">
        <v>289</v>
      </c>
      <c r="B34" s="3">
        <v>525</v>
      </c>
      <c r="C34" s="3">
        <v>1029</v>
      </c>
      <c r="D34" s="1">
        <v>0.49</v>
      </c>
      <c r="E34" s="4">
        <f t="shared" ref="E34:E65" si="7">(C34-B34)/C34</f>
        <v>0.48979591836734693</v>
      </c>
      <c r="H34" t="str">
        <f t="shared" ref="H34:H65" si="8">IF(OR(G34&lt;0,G34&gt;5,ISBLANK(G34)),"Check Rating","Ok")</f>
        <v>Check Rating</v>
      </c>
      <c r="I34" t="str">
        <f t="shared" ref="I34:I65" si="9">IF(OR(E34&lt;0,E34&gt;100),"Discount ","Ok")</f>
        <v>Ok</v>
      </c>
      <c r="J34" t="str">
        <f t="shared" ref="J34:J65" si="10">IF(OR(B34&gt;C34),"Check Prices","Ok")</f>
        <v>Ok</v>
      </c>
      <c r="K34" t="str">
        <f t="shared" ref="K34:K65" si="11">IF(ISBLANK(G34),"Missing",IF(G34&lt;3,"Poor",IF(G34&lt;4,"Average","Excellent")))</f>
        <v>Missing</v>
      </c>
      <c r="L34" t="str">
        <f t="shared" ref="L34:L65" si="12">IF(E34&lt;20%,"Low Discount",IF(E34&lt;40%,"Medium Discount","High Discount"))</f>
        <v>High Discount</v>
      </c>
      <c r="M34" t="str">
        <f t="shared" ref="M34:M65" si="13">IF(B34&lt;Price_Q1,"Low Price",IF(B34&lt;=Price_Q3,"Medium Price","High Price"))</f>
        <v>Medium Price</v>
      </c>
      <c r="N34" t="str">
        <f>IF(OR(ISBLANK(tblproducts[[#This Row],[Ratings]])),"No Rating",IF(AND(tblproducts[[#This Row],[Calculated Discount]]&gt; High_dis,tblproducts[[#This Row],[Ratings]]&lt;3),"Yes","No"))</f>
        <v>No Rating</v>
      </c>
      <c r="O34" t="str">
        <f>IF(OR(ISBLANK(tblproducts[[#This Row],[Review]])),"No Review",IF(AND(tblproducts[[#This Row],[Calculated Discount]] &gt;High_dis,tblproducts[[#This Row],[Review]]&lt; weak_engagem),"Yes","No"))</f>
        <v>No Review</v>
      </c>
      <c r="P34" t="str">
        <f>IF(OR(ISBLANK(tblproducts[[#This Row],[Review]])),"Not Provided",IF(AND(tblproducts[[#This Row],[Review]]&gt;=str_engagement,tblproducts[[#This Row],[Ratings]]&gt;=3,tblproducts[[#This Row],[Ratings]]&lt;4),"Yes","No"))</f>
        <v>Not Provided</v>
      </c>
      <c r="Q34" t="str">
        <f>IF(OR(ISBLANK(tblproducts[[#This Row],[Review]])),"Not Provided",IF(AND(tblproducts[[#This Row],[Review]]&gt;str_engagement,tblproducts[[#This Row],[Ratings]]&gt;=4),"Yes","No"))</f>
        <v>Not Provided</v>
      </c>
    </row>
    <row r="35" spans="1:17" hidden="1" x14ac:dyDescent="0.25">
      <c r="A35" t="s">
        <v>108</v>
      </c>
      <c r="B35" s="3">
        <v>1820</v>
      </c>
      <c r="C35" s="3">
        <v>3490</v>
      </c>
      <c r="D35" s="1">
        <v>0.48</v>
      </c>
      <c r="E35" s="4">
        <f t="shared" si="7"/>
        <v>0.47851002865329512</v>
      </c>
      <c r="F35">
        <v>9</v>
      </c>
      <c r="G35" s="2">
        <v>4.3</v>
      </c>
      <c r="H35" t="str">
        <f t="shared" si="8"/>
        <v>Ok</v>
      </c>
      <c r="I35" t="str">
        <f t="shared" si="9"/>
        <v>Ok</v>
      </c>
      <c r="J35" t="str">
        <f t="shared" si="10"/>
        <v>Ok</v>
      </c>
      <c r="K35" t="str">
        <f t="shared" si="11"/>
        <v>Excellent</v>
      </c>
      <c r="L35" t="str">
        <f t="shared" si="12"/>
        <v>High Discount</v>
      </c>
      <c r="M35" t="str">
        <f t="shared" si="13"/>
        <v>High Price</v>
      </c>
      <c r="N35" t="str">
        <f>IF(OR(ISBLANK(tblproducts[[#This Row],[Ratings]])),"No Rating",IF(AND(tblproducts[[#This Row],[Calculated Discount]]&gt; High_dis,tblproducts[[#This Row],[Ratings]]&lt;3),"Yes","No"))</f>
        <v>No</v>
      </c>
      <c r="O35" t="str">
        <f>IF(OR(ISBLANK(tblproducts[[#This Row],[Review]])),"No Review",IF(AND(tblproducts[[#This Row],[Calculated Discount]] &gt;High_dis,tblproducts[[#This Row],[Review]]&lt; weak_engagem),"Yes","No"))</f>
        <v>No</v>
      </c>
      <c r="P35" t="str">
        <f>IF(OR(ISBLANK(tblproducts[[#This Row],[Review]])),"Not Provided",IF(AND(tblproducts[[#This Row],[Review]]&gt;=str_engagement,tblproducts[[#This Row],[Ratings]]&gt;=3,tblproducts[[#This Row],[Ratings]]&lt;4),"Yes","No"))</f>
        <v>No</v>
      </c>
      <c r="Q35" t="str">
        <f>IF(OR(ISBLANK(tblproducts[[#This Row],[Review]])),"Not Provided",IF(AND(tblproducts[[#This Row],[Review]]&gt;str_engagement,tblproducts[[#This Row],[Ratings]]&gt;=4),"Yes","No"))</f>
        <v>No</v>
      </c>
    </row>
    <row r="36" spans="1:17" hidden="1" x14ac:dyDescent="0.25">
      <c r="A36" t="s">
        <v>173</v>
      </c>
      <c r="B36" s="3">
        <v>699</v>
      </c>
      <c r="C36" s="3">
        <v>1343</v>
      </c>
      <c r="D36" s="1">
        <v>0.48</v>
      </c>
      <c r="E36" s="4">
        <f t="shared" si="7"/>
        <v>0.47952345495160087</v>
      </c>
      <c r="H36" t="str">
        <f t="shared" si="8"/>
        <v>Check Rating</v>
      </c>
      <c r="I36" t="str">
        <f t="shared" si="9"/>
        <v>Ok</v>
      </c>
      <c r="J36" t="str">
        <f t="shared" si="10"/>
        <v>Ok</v>
      </c>
      <c r="K36" t="str">
        <f t="shared" si="11"/>
        <v>Missing</v>
      </c>
      <c r="L36" t="str">
        <f t="shared" si="12"/>
        <v>High Discount</v>
      </c>
      <c r="M36" t="str">
        <f t="shared" si="13"/>
        <v>Medium Price</v>
      </c>
      <c r="N36" t="str">
        <f>IF(OR(ISBLANK(tblproducts[[#This Row],[Ratings]])),"No Rating",IF(AND(tblproducts[[#This Row],[Calculated Discount]]&gt; High_dis,tblproducts[[#This Row],[Ratings]]&lt;3),"Yes","No"))</f>
        <v>No Rating</v>
      </c>
      <c r="O36" t="str">
        <f>IF(OR(ISBLANK(tblproducts[[#This Row],[Review]])),"No Review",IF(AND(tblproducts[[#This Row],[Calculated Discount]] &gt;High_dis,tblproducts[[#This Row],[Review]]&lt; weak_engagem),"Yes","No"))</f>
        <v>No Review</v>
      </c>
      <c r="P36" t="str">
        <f>IF(OR(ISBLANK(tblproducts[[#This Row],[Review]])),"Not Provided",IF(AND(tblproducts[[#This Row],[Review]]&gt;=str_engagement,tblproducts[[#This Row],[Ratings]]&gt;=3,tblproducts[[#This Row],[Ratings]]&lt;4),"Yes","No"))</f>
        <v>Not Provided</v>
      </c>
      <c r="Q36" t="str">
        <f>IF(OR(ISBLANK(tblproducts[[#This Row],[Review]])),"Not Provided",IF(AND(tblproducts[[#This Row],[Review]]&gt;str_engagement,tblproducts[[#This Row],[Ratings]]&gt;=4),"Yes","No"))</f>
        <v>Not Provided</v>
      </c>
    </row>
    <row r="37" spans="1:17" hidden="1" x14ac:dyDescent="0.25">
      <c r="A37" t="s">
        <v>272</v>
      </c>
      <c r="B37" s="3">
        <v>1300</v>
      </c>
      <c r="C37" s="3">
        <v>2500</v>
      </c>
      <c r="D37" s="1">
        <v>0.48</v>
      </c>
      <c r="E37" s="4">
        <f t="shared" si="7"/>
        <v>0.48</v>
      </c>
      <c r="H37" t="str">
        <f t="shared" si="8"/>
        <v>Check Rating</v>
      </c>
      <c r="I37" t="str">
        <f t="shared" si="9"/>
        <v>Ok</v>
      </c>
      <c r="J37" t="str">
        <f t="shared" si="10"/>
        <v>Ok</v>
      </c>
      <c r="K37" t="str">
        <f t="shared" si="11"/>
        <v>Missing</v>
      </c>
      <c r="L37" t="str">
        <f t="shared" si="12"/>
        <v>High Discount</v>
      </c>
      <c r="M37" t="str">
        <f t="shared" si="13"/>
        <v>Medium Price</v>
      </c>
      <c r="N37" t="str">
        <f>IF(OR(ISBLANK(tblproducts[[#This Row],[Ratings]])),"No Rating",IF(AND(tblproducts[[#This Row],[Calculated Discount]]&gt; High_dis,tblproducts[[#This Row],[Ratings]]&lt;3),"Yes","No"))</f>
        <v>No Rating</v>
      </c>
      <c r="O37" t="str">
        <f>IF(OR(ISBLANK(tblproducts[[#This Row],[Review]])),"No Review",IF(AND(tblproducts[[#This Row],[Calculated Discount]] &gt;High_dis,tblproducts[[#This Row],[Review]]&lt; weak_engagem),"Yes","No"))</f>
        <v>No Review</v>
      </c>
      <c r="P37" t="str">
        <f>IF(OR(ISBLANK(tblproducts[[#This Row],[Review]])),"Not Provided",IF(AND(tblproducts[[#This Row],[Review]]&gt;=str_engagement,tblproducts[[#This Row],[Ratings]]&gt;=3,tblproducts[[#This Row],[Ratings]]&lt;4),"Yes","No"))</f>
        <v>Not Provided</v>
      </c>
      <c r="Q37" t="str">
        <f>IF(OR(ISBLANK(tblproducts[[#This Row],[Review]])),"Not Provided",IF(AND(tblproducts[[#This Row],[Review]]&gt;str_engagement,tblproducts[[#This Row],[Ratings]]&gt;=4),"Yes","No"))</f>
        <v>Not Provided</v>
      </c>
    </row>
    <row r="38" spans="1:17" hidden="1" x14ac:dyDescent="0.25">
      <c r="A38" t="s">
        <v>274</v>
      </c>
      <c r="B38" s="3">
        <v>105</v>
      </c>
      <c r="C38" s="3">
        <v>200</v>
      </c>
      <c r="D38" s="1">
        <v>0.48</v>
      </c>
      <c r="E38" s="4">
        <f t="shared" si="7"/>
        <v>0.47499999999999998</v>
      </c>
      <c r="H38" t="str">
        <f t="shared" si="8"/>
        <v>Check Rating</v>
      </c>
      <c r="I38" t="str">
        <f t="shared" si="9"/>
        <v>Ok</v>
      </c>
      <c r="J38" t="str">
        <f t="shared" si="10"/>
        <v>Ok</v>
      </c>
      <c r="K38" t="str">
        <f t="shared" si="11"/>
        <v>Missing</v>
      </c>
      <c r="L38" t="str">
        <f t="shared" si="12"/>
        <v>High Discount</v>
      </c>
      <c r="M38" t="str">
        <f t="shared" si="13"/>
        <v>Low Price</v>
      </c>
      <c r="N38" t="str">
        <f>IF(OR(ISBLANK(tblproducts[[#This Row],[Ratings]])),"No Rating",IF(AND(tblproducts[[#This Row],[Calculated Discount]]&gt; High_dis,tblproducts[[#This Row],[Ratings]]&lt;3),"Yes","No"))</f>
        <v>No Rating</v>
      </c>
      <c r="O38" t="str">
        <f>IF(OR(ISBLANK(tblproducts[[#This Row],[Review]])),"No Review",IF(AND(tblproducts[[#This Row],[Calculated Discount]] &gt;High_dis,tblproducts[[#This Row],[Review]]&lt; weak_engagem),"Yes","No"))</f>
        <v>No Review</v>
      </c>
      <c r="P38" t="str">
        <f>IF(OR(ISBLANK(tblproducts[[#This Row],[Review]])),"Not Provided",IF(AND(tblproducts[[#This Row],[Review]]&gt;=str_engagement,tblproducts[[#This Row],[Ratings]]&gt;=3,tblproducts[[#This Row],[Ratings]]&lt;4),"Yes","No"))</f>
        <v>Not Provided</v>
      </c>
      <c r="Q38" t="str">
        <f>IF(OR(ISBLANK(tblproducts[[#This Row],[Review]])),"Not Provided",IF(AND(tblproducts[[#This Row],[Review]]&gt;str_engagement,tblproducts[[#This Row],[Ratings]]&gt;=4),"Yes","No"))</f>
        <v>Not Provided</v>
      </c>
    </row>
    <row r="39" spans="1:17" hidden="1" x14ac:dyDescent="0.25">
      <c r="A39" t="s">
        <v>10</v>
      </c>
      <c r="B39" s="3">
        <v>527</v>
      </c>
      <c r="C39" s="3">
        <v>999</v>
      </c>
      <c r="D39" s="1">
        <v>0.47</v>
      </c>
      <c r="E39" s="4">
        <f t="shared" si="7"/>
        <v>0.47247247247247248</v>
      </c>
      <c r="F39">
        <v>14</v>
      </c>
      <c r="G39" s="2">
        <v>4.0999999999999996</v>
      </c>
      <c r="H39" t="str">
        <f t="shared" si="8"/>
        <v>Ok</v>
      </c>
      <c r="I39" t="str">
        <f t="shared" si="9"/>
        <v>Ok</v>
      </c>
      <c r="J39" t="str">
        <f t="shared" si="10"/>
        <v>Ok</v>
      </c>
      <c r="K39" t="str">
        <f t="shared" si="11"/>
        <v>Excellent</v>
      </c>
      <c r="L39" t="str">
        <f t="shared" si="12"/>
        <v>High Discount</v>
      </c>
      <c r="M39" t="str">
        <f t="shared" si="13"/>
        <v>Medium Price</v>
      </c>
      <c r="N39" t="str">
        <f>IF(OR(ISBLANK(tblproducts[[#This Row],[Ratings]])),"No Rating",IF(AND(tblproducts[[#This Row],[Calculated Discount]]&gt; High_dis,tblproducts[[#This Row],[Ratings]]&lt;3),"Yes","No"))</f>
        <v>No</v>
      </c>
      <c r="O39" t="str">
        <f>IF(OR(ISBLANK(tblproducts[[#This Row],[Review]])),"No Review",IF(AND(tblproducts[[#This Row],[Calculated Discount]] &gt;High_dis,tblproducts[[#This Row],[Review]]&lt; weak_engagem),"Yes","No"))</f>
        <v>No</v>
      </c>
      <c r="P39" t="str">
        <f>IF(OR(ISBLANK(tblproducts[[#This Row],[Review]])),"Not Provided",IF(AND(tblproducts[[#This Row],[Review]]&gt;=str_engagement,tblproducts[[#This Row],[Ratings]]&gt;=3,tblproducts[[#This Row],[Ratings]]&lt;4),"Yes","No"))</f>
        <v>No</v>
      </c>
      <c r="Q39" t="str">
        <f>IF(OR(ISBLANK(tblproducts[[#This Row],[Review]])),"Not Provided",IF(AND(tblproducts[[#This Row],[Review]]&gt;str_engagement,tblproducts[[#This Row],[Ratings]]&gt;=4),"Yes","No"))</f>
        <v>No</v>
      </c>
    </row>
    <row r="40" spans="1:17" hidden="1" x14ac:dyDescent="0.25">
      <c r="A40" t="s">
        <v>47</v>
      </c>
      <c r="B40" s="3">
        <v>552</v>
      </c>
      <c r="C40" s="3">
        <v>1035</v>
      </c>
      <c r="D40" s="1">
        <v>0.47</v>
      </c>
      <c r="E40" s="4">
        <f t="shared" si="7"/>
        <v>0.46666666666666667</v>
      </c>
      <c r="F40">
        <v>12</v>
      </c>
      <c r="G40" s="2">
        <v>4.8</v>
      </c>
      <c r="H40" t="str">
        <f t="shared" si="8"/>
        <v>Ok</v>
      </c>
      <c r="I40" t="str">
        <f t="shared" si="9"/>
        <v>Ok</v>
      </c>
      <c r="J40" t="str">
        <f t="shared" si="10"/>
        <v>Ok</v>
      </c>
      <c r="K40" t="str">
        <f t="shared" si="11"/>
        <v>Excellent</v>
      </c>
      <c r="L40" t="str">
        <f t="shared" si="12"/>
        <v>High Discount</v>
      </c>
      <c r="M40" t="str">
        <f t="shared" si="13"/>
        <v>Medium Price</v>
      </c>
      <c r="N40" t="str">
        <f>IF(OR(ISBLANK(tblproducts[[#This Row],[Ratings]])),"No Rating",IF(AND(tblproducts[[#This Row],[Calculated Discount]]&gt; High_dis,tblproducts[[#This Row],[Ratings]]&lt;3),"Yes","No"))</f>
        <v>No</v>
      </c>
      <c r="O40" t="str">
        <f>IF(OR(ISBLANK(tblproducts[[#This Row],[Review]])),"No Review",IF(AND(tblproducts[[#This Row],[Calculated Discount]] &gt;High_dis,tblproducts[[#This Row],[Review]]&lt; weak_engagem),"Yes","No"))</f>
        <v>No</v>
      </c>
      <c r="P40" t="str">
        <f>IF(OR(ISBLANK(tblproducts[[#This Row],[Review]])),"Not Provided",IF(AND(tblproducts[[#This Row],[Review]]&gt;=str_engagement,tblproducts[[#This Row],[Ratings]]&gt;=3,tblproducts[[#This Row],[Ratings]]&lt;4),"Yes","No"))</f>
        <v>No</v>
      </c>
      <c r="Q40" t="str">
        <f>IF(OR(ISBLANK(tblproducts[[#This Row],[Review]])),"Not Provided",IF(AND(tblproducts[[#This Row],[Review]]&gt;str_engagement,tblproducts[[#This Row],[Ratings]]&gt;=4),"Yes","No"))</f>
        <v>No</v>
      </c>
    </row>
    <row r="41" spans="1:17" hidden="1" x14ac:dyDescent="0.25">
      <c r="A41" t="s">
        <v>229</v>
      </c>
      <c r="B41" s="3">
        <v>1570</v>
      </c>
      <c r="C41" s="3">
        <v>2988</v>
      </c>
      <c r="D41" s="1">
        <v>0.47</v>
      </c>
      <c r="E41" s="4">
        <f t="shared" si="7"/>
        <v>0.4745649263721553</v>
      </c>
      <c r="F41">
        <v>7</v>
      </c>
      <c r="G41" s="2">
        <v>2.1</v>
      </c>
      <c r="H41" t="str">
        <f t="shared" si="8"/>
        <v>Ok</v>
      </c>
      <c r="I41" t="str">
        <f t="shared" si="9"/>
        <v>Ok</v>
      </c>
      <c r="J41" t="str">
        <f t="shared" si="10"/>
        <v>Ok</v>
      </c>
      <c r="K41" t="str">
        <f t="shared" si="11"/>
        <v>Poor</v>
      </c>
      <c r="L41" t="str">
        <f t="shared" si="12"/>
        <v>High Discount</v>
      </c>
      <c r="M41" t="str">
        <f t="shared" si="13"/>
        <v>Medium Price</v>
      </c>
      <c r="N41" t="str">
        <f>IF(OR(ISBLANK(tblproducts[[#This Row],[Ratings]])),"No Rating",IF(AND(tblproducts[[#This Row],[Calculated Discount]]&gt; High_dis,tblproducts[[#This Row],[Ratings]]&lt;3),"Yes","No"))</f>
        <v>No</v>
      </c>
      <c r="O41" t="str">
        <f>IF(OR(ISBLANK(tblproducts[[#This Row],[Review]])),"No Review",IF(AND(tblproducts[[#This Row],[Calculated Discount]] &gt;High_dis,tblproducts[[#This Row],[Review]]&lt; weak_engagem),"Yes","No"))</f>
        <v>No</v>
      </c>
      <c r="P41" t="str">
        <f>IF(OR(ISBLANK(tblproducts[[#This Row],[Review]])),"Not Provided",IF(AND(tblproducts[[#This Row],[Review]]&gt;=str_engagement,tblproducts[[#This Row],[Ratings]]&gt;=3,tblproducts[[#This Row],[Ratings]]&lt;4),"Yes","No"))</f>
        <v>No</v>
      </c>
      <c r="Q41" t="str">
        <f>IF(OR(ISBLANK(tblproducts[[#This Row],[Review]])),"Not Provided",IF(AND(tblproducts[[#This Row],[Review]]&gt;str_engagement,tblproducts[[#This Row],[Ratings]]&gt;=4),"Yes","No"))</f>
        <v>No</v>
      </c>
    </row>
    <row r="42" spans="1:17" hidden="1" x14ac:dyDescent="0.25">
      <c r="A42" t="s">
        <v>227</v>
      </c>
      <c r="B42" s="3">
        <v>968</v>
      </c>
      <c r="C42" s="3">
        <v>1814</v>
      </c>
      <c r="D42" s="1">
        <v>0.47</v>
      </c>
      <c r="E42" s="4">
        <f t="shared" si="7"/>
        <v>0.46637265711135611</v>
      </c>
      <c r="F42">
        <v>6</v>
      </c>
      <c r="G42" s="2">
        <v>2.2000000000000002</v>
      </c>
      <c r="H42" t="str">
        <f t="shared" si="8"/>
        <v>Ok</v>
      </c>
      <c r="I42" t="str">
        <f t="shared" si="9"/>
        <v>Ok</v>
      </c>
      <c r="J42" t="str">
        <f t="shared" si="10"/>
        <v>Ok</v>
      </c>
      <c r="K42" t="str">
        <f t="shared" si="11"/>
        <v>Poor</v>
      </c>
      <c r="L42" t="str">
        <f t="shared" si="12"/>
        <v>High Discount</v>
      </c>
      <c r="M42" t="str">
        <f t="shared" si="13"/>
        <v>Medium Price</v>
      </c>
      <c r="N42" t="str">
        <f>IF(OR(ISBLANK(tblproducts[[#This Row],[Ratings]])),"No Rating",IF(AND(tblproducts[[#This Row],[Calculated Discount]]&gt; High_dis,tblproducts[[#This Row],[Ratings]]&lt;3),"Yes","No"))</f>
        <v>No</v>
      </c>
      <c r="O42" t="str">
        <f>IF(OR(ISBLANK(tblproducts[[#This Row],[Review]])),"No Review",IF(AND(tblproducts[[#This Row],[Calculated Discount]] &gt;High_dis,tblproducts[[#This Row],[Review]]&lt; weak_engagem),"Yes","No"))</f>
        <v>No</v>
      </c>
      <c r="P42" t="str">
        <f>IF(OR(ISBLANK(tblproducts[[#This Row],[Review]])),"Not Provided",IF(AND(tblproducts[[#This Row],[Review]]&gt;=str_engagement,tblproducts[[#This Row],[Ratings]]&gt;=3,tblproducts[[#This Row],[Ratings]]&lt;4),"Yes","No"))</f>
        <v>No</v>
      </c>
      <c r="Q42" t="str">
        <f>IF(OR(ISBLANK(tblproducts[[#This Row],[Review]])),"Not Provided",IF(AND(tblproducts[[#This Row],[Review]]&gt;str_engagement,tblproducts[[#This Row],[Ratings]]&gt;=4),"Yes","No"))</f>
        <v>No</v>
      </c>
    </row>
    <row r="43" spans="1:17" hidden="1" x14ac:dyDescent="0.25">
      <c r="A43" t="s">
        <v>232</v>
      </c>
      <c r="B43" s="3">
        <v>790</v>
      </c>
      <c r="C43" s="3">
        <v>1485</v>
      </c>
      <c r="D43" s="1">
        <v>0.47</v>
      </c>
      <c r="E43" s="4">
        <f t="shared" si="7"/>
        <v>0.46801346801346799</v>
      </c>
      <c r="H43" t="str">
        <f t="shared" si="8"/>
        <v>Check Rating</v>
      </c>
      <c r="I43" t="str">
        <f t="shared" si="9"/>
        <v>Ok</v>
      </c>
      <c r="J43" t="str">
        <f t="shared" si="10"/>
        <v>Ok</v>
      </c>
      <c r="K43" t="str">
        <f t="shared" si="11"/>
        <v>Missing</v>
      </c>
      <c r="L43" t="str">
        <f t="shared" si="12"/>
        <v>High Discount</v>
      </c>
      <c r="M43" t="str">
        <f t="shared" si="13"/>
        <v>Medium Price</v>
      </c>
      <c r="N43" t="str">
        <f>IF(OR(ISBLANK(tblproducts[[#This Row],[Ratings]])),"No Rating",IF(AND(tblproducts[[#This Row],[Calculated Discount]]&gt; High_dis,tblproducts[[#This Row],[Ratings]]&lt;3),"Yes","No"))</f>
        <v>No Rating</v>
      </c>
      <c r="O43" t="str">
        <f>IF(OR(ISBLANK(tblproducts[[#This Row],[Review]])),"No Review",IF(AND(tblproducts[[#This Row],[Calculated Discount]] &gt;High_dis,tblproducts[[#This Row],[Review]]&lt; weak_engagem),"Yes","No"))</f>
        <v>No Review</v>
      </c>
      <c r="P43" t="str">
        <f>IF(OR(ISBLANK(tblproducts[[#This Row],[Review]])),"Not Provided",IF(AND(tblproducts[[#This Row],[Review]]&gt;=str_engagement,tblproducts[[#This Row],[Ratings]]&gt;=3,tblproducts[[#This Row],[Ratings]]&lt;4),"Yes","No"))</f>
        <v>Not Provided</v>
      </c>
      <c r="Q43" t="str">
        <f>IF(OR(ISBLANK(tblproducts[[#This Row],[Review]])),"Not Provided",IF(AND(tblproducts[[#This Row],[Review]]&gt;str_engagement,tblproducts[[#This Row],[Ratings]]&gt;=4),"Yes","No"))</f>
        <v>Not Provided</v>
      </c>
    </row>
    <row r="44" spans="1:17" hidden="1" x14ac:dyDescent="0.25">
      <c r="A44" t="s">
        <v>277</v>
      </c>
      <c r="B44" s="3">
        <v>899</v>
      </c>
      <c r="C44" s="3">
        <v>1699</v>
      </c>
      <c r="D44" s="1">
        <v>0.47</v>
      </c>
      <c r="E44" s="4">
        <f t="shared" si="7"/>
        <v>0.47086521483225424</v>
      </c>
      <c r="H44" t="str">
        <f t="shared" si="8"/>
        <v>Check Rating</v>
      </c>
      <c r="I44" t="str">
        <f t="shared" si="9"/>
        <v>Ok</v>
      </c>
      <c r="J44" t="str">
        <f t="shared" si="10"/>
        <v>Ok</v>
      </c>
      <c r="K44" t="str">
        <f t="shared" si="11"/>
        <v>Missing</v>
      </c>
      <c r="L44" t="str">
        <f t="shared" si="12"/>
        <v>High Discount</v>
      </c>
      <c r="M44" t="str">
        <f t="shared" si="13"/>
        <v>Medium Price</v>
      </c>
      <c r="N44" t="str">
        <f>IF(OR(ISBLANK(tblproducts[[#This Row],[Ratings]])),"No Rating",IF(AND(tblproducts[[#This Row],[Calculated Discount]]&gt; High_dis,tblproducts[[#This Row],[Ratings]]&lt;3),"Yes","No"))</f>
        <v>No Rating</v>
      </c>
      <c r="O44" t="str">
        <f>IF(OR(ISBLANK(tblproducts[[#This Row],[Review]])),"No Review",IF(AND(tblproducts[[#This Row],[Calculated Discount]] &gt;High_dis,tblproducts[[#This Row],[Review]]&lt; weak_engagem),"Yes","No"))</f>
        <v>No Review</v>
      </c>
      <c r="P44" t="str">
        <f>IF(OR(ISBLANK(tblproducts[[#This Row],[Review]])),"Not Provided",IF(AND(tblproducts[[#This Row],[Review]]&gt;=str_engagement,tblproducts[[#This Row],[Ratings]]&gt;=3,tblproducts[[#This Row],[Ratings]]&lt;4),"Yes","No"))</f>
        <v>Not Provided</v>
      </c>
      <c r="Q44" t="str">
        <f>IF(OR(ISBLANK(tblproducts[[#This Row],[Review]])),"Not Provided",IF(AND(tblproducts[[#This Row],[Review]]&gt;str_engagement,tblproducts[[#This Row],[Ratings]]&gt;=4),"Yes","No"))</f>
        <v>Not Provided</v>
      </c>
    </row>
    <row r="45" spans="1:17" hidden="1" x14ac:dyDescent="0.25">
      <c r="A45" t="s">
        <v>320</v>
      </c>
      <c r="B45" s="3">
        <v>169</v>
      </c>
      <c r="C45" s="3">
        <v>320</v>
      </c>
      <c r="D45" s="1">
        <v>0.47</v>
      </c>
      <c r="E45" s="4">
        <f t="shared" si="7"/>
        <v>0.47187499999999999</v>
      </c>
      <c r="H45" t="str">
        <f t="shared" si="8"/>
        <v>Check Rating</v>
      </c>
      <c r="I45" t="str">
        <f t="shared" si="9"/>
        <v>Ok</v>
      </c>
      <c r="J45" t="str">
        <f t="shared" si="10"/>
        <v>Ok</v>
      </c>
      <c r="K45" t="str">
        <f t="shared" si="11"/>
        <v>Missing</v>
      </c>
      <c r="L45" t="str">
        <f t="shared" si="12"/>
        <v>High Discount</v>
      </c>
      <c r="M45" t="str">
        <f t="shared" si="13"/>
        <v>Low Price</v>
      </c>
      <c r="N45" t="str">
        <f>IF(OR(ISBLANK(tblproducts[[#This Row],[Ratings]])),"No Rating",IF(AND(tblproducts[[#This Row],[Calculated Discount]]&gt; High_dis,tblproducts[[#This Row],[Ratings]]&lt;3),"Yes","No"))</f>
        <v>No Rating</v>
      </c>
      <c r="O45" t="str">
        <f>IF(OR(ISBLANK(tblproducts[[#This Row],[Review]])),"No Review",IF(AND(tblproducts[[#This Row],[Calculated Discount]] &gt;High_dis,tblproducts[[#This Row],[Review]]&lt; weak_engagem),"Yes","No"))</f>
        <v>No Review</v>
      </c>
      <c r="P45" t="str">
        <f>IF(OR(ISBLANK(tblproducts[[#This Row],[Review]])),"Not Provided",IF(AND(tblproducts[[#This Row],[Review]]&gt;=str_engagement,tblproducts[[#This Row],[Ratings]]&gt;=3,tblproducts[[#This Row],[Ratings]]&lt;4),"Yes","No"))</f>
        <v>Not Provided</v>
      </c>
      <c r="Q45" t="str">
        <f>IF(OR(ISBLANK(tblproducts[[#This Row],[Review]])),"Not Provided",IF(AND(tblproducts[[#This Row],[Review]]&gt;str_engagement,tblproducts[[#This Row],[Ratings]]&gt;=4),"Yes","No"))</f>
        <v>Not Provided</v>
      </c>
    </row>
    <row r="46" spans="1:17" hidden="1" x14ac:dyDescent="0.25">
      <c r="A46" t="s">
        <v>60</v>
      </c>
      <c r="B46" s="3">
        <v>195</v>
      </c>
      <c r="C46" s="3">
        <v>360</v>
      </c>
      <c r="D46" s="1">
        <v>0.46</v>
      </c>
      <c r="E46" s="4">
        <f t="shared" si="7"/>
        <v>0.45833333333333331</v>
      </c>
      <c r="F46">
        <v>2</v>
      </c>
      <c r="G46" s="2">
        <v>5</v>
      </c>
      <c r="H46" t="str">
        <f t="shared" si="8"/>
        <v>Ok</v>
      </c>
      <c r="I46" t="str">
        <f t="shared" si="9"/>
        <v>Ok</v>
      </c>
      <c r="J46" t="str">
        <f t="shared" si="10"/>
        <v>Ok</v>
      </c>
      <c r="K46" t="str">
        <f t="shared" si="11"/>
        <v>Excellent</v>
      </c>
      <c r="L46" t="str">
        <f t="shared" si="12"/>
        <v>High Discount</v>
      </c>
      <c r="M46" t="str">
        <f t="shared" si="13"/>
        <v>Low Price</v>
      </c>
      <c r="N46" t="str">
        <f>IF(OR(ISBLANK(tblproducts[[#This Row],[Ratings]])),"No Rating",IF(AND(tblproducts[[#This Row],[Calculated Discount]]&gt; High_dis,tblproducts[[#This Row],[Ratings]]&lt;3),"Yes","No"))</f>
        <v>No</v>
      </c>
      <c r="O46" t="str">
        <f>IF(OR(ISBLANK(tblproducts[[#This Row],[Review]])),"No Review",IF(AND(tblproducts[[#This Row],[Calculated Discount]] &gt;High_dis,tblproducts[[#This Row],[Review]]&lt; weak_engagem),"Yes","No"))</f>
        <v>No</v>
      </c>
      <c r="P46" t="str">
        <f>IF(OR(ISBLANK(tblproducts[[#This Row],[Review]])),"Not Provided",IF(AND(tblproducts[[#This Row],[Review]]&gt;=str_engagement,tblproducts[[#This Row],[Ratings]]&gt;=3,tblproducts[[#This Row],[Ratings]]&lt;4),"Yes","No"))</f>
        <v>No</v>
      </c>
      <c r="Q46" t="str">
        <f>IF(OR(ISBLANK(tblproducts[[#This Row],[Review]])),"Not Provided",IF(AND(tblproducts[[#This Row],[Review]]&gt;str_engagement,tblproducts[[#This Row],[Ratings]]&gt;=4),"Yes","No"))</f>
        <v>No</v>
      </c>
    </row>
    <row r="47" spans="1:17" hidden="1" x14ac:dyDescent="0.25">
      <c r="A47" t="s">
        <v>243</v>
      </c>
      <c r="B47" s="3">
        <v>1189</v>
      </c>
      <c r="C47" s="3">
        <v>2199</v>
      </c>
      <c r="D47" s="1">
        <v>0.46</v>
      </c>
      <c r="E47" s="4">
        <f t="shared" si="7"/>
        <v>0.45929968167348795</v>
      </c>
      <c r="F47">
        <v>1</v>
      </c>
      <c r="G47" s="2">
        <v>3</v>
      </c>
      <c r="H47" t="str">
        <f t="shared" si="8"/>
        <v>Ok</v>
      </c>
      <c r="I47" t="str">
        <f t="shared" si="9"/>
        <v>Ok</v>
      </c>
      <c r="J47" t="str">
        <f t="shared" si="10"/>
        <v>Ok</v>
      </c>
      <c r="K47" t="str">
        <f t="shared" si="11"/>
        <v>Average</v>
      </c>
      <c r="L47" t="str">
        <f t="shared" si="12"/>
        <v>High Discount</v>
      </c>
      <c r="M47" t="str">
        <f t="shared" si="13"/>
        <v>Medium Price</v>
      </c>
      <c r="N47" t="str">
        <f>IF(OR(ISBLANK(tblproducts[[#This Row],[Ratings]])),"No Rating",IF(AND(tblproducts[[#This Row],[Calculated Discount]]&gt; High_dis,tblproducts[[#This Row],[Ratings]]&lt;3),"Yes","No"))</f>
        <v>No</v>
      </c>
      <c r="O47" t="str">
        <f>IF(OR(ISBLANK(tblproducts[[#This Row],[Review]])),"No Review",IF(AND(tblproducts[[#This Row],[Calculated Discount]] &gt;High_dis,tblproducts[[#This Row],[Review]]&lt; weak_engagem),"Yes","No"))</f>
        <v>No</v>
      </c>
      <c r="P47" t="str">
        <f>IF(OR(ISBLANK(tblproducts[[#This Row],[Review]])),"Not Provided",IF(AND(tblproducts[[#This Row],[Review]]&gt;=str_engagement,tblproducts[[#This Row],[Ratings]]&gt;=3,tblproducts[[#This Row],[Ratings]]&lt;4),"Yes","No"))</f>
        <v>No</v>
      </c>
      <c r="Q47" t="str">
        <f>IF(OR(ISBLANK(tblproducts[[#This Row],[Review]])),"Not Provided",IF(AND(tblproducts[[#This Row],[Review]]&gt;str_engagement,tblproducts[[#This Row],[Ratings]]&gt;=4),"Yes","No"))</f>
        <v>No</v>
      </c>
    </row>
    <row r="48" spans="1:17" hidden="1" x14ac:dyDescent="0.25">
      <c r="A48" t="s">
        <v>99</v>
      </c>
      <c r="B48" s="3">
        <v>2200</v>
      </c>
      <c r="C48" s="3">
        <v>4080</v>
      </c>
      <c r="D48" s="1">
        <v>0.46</v>
      </c>
      <c r="E48" s="4">
        <f t="shared" si="7"/>
        <v>0.46078431372549017</v>
      </c>
      <c r="H48" t="str">
        <f t="shared" si="8"/>
        <v>Check Rating</v>
      </c>
      <c r="I48" t="str">
        <f t="shared" si="9"/>
        <v>Ok</v>
      </c>
      <c r="J48" t="str">
        <f t="shared" si="10"/>
        <v>Ok</v>
      </c>
      <c r="K48" t="str">
        <f t="shared" si="11"/>
        <v>Missing</v>
      </c>
      <c r="L48" t="str">
        <f t="shared" si="12"/>
        <v>High Discount</v>
      </c>
      <c r="M48" t="str">
        <f t="shared" si="13"/>
        <v>High Price</v>
      </c>
      <c r="N48" t="str">
        <f>IF(OR(ISBLANK(tblproducts[[#This Row],[Ratings]])),"No Rating",IF(AND(tblproducts[[#This Row],[Calculated Discount]]&gt; High_dis,tblproducts[[#This Row],[Ratings]]&lt;3),"Yes","No"))</f>
        <v>No Rating</v>
      </c>
      <c r="O48" t="str">
        <f>IF(OR(ISBLANK(tblproducts[[#This Row],[Review]])),"No Review",IF(AND(tblproducts[[#This Row],[Calculated Discount]] &gt;High_dis,tblproducts[[#This Row],[Review]]&lt; weak_engagem),"Yes","No"))</f>
        <v>No Review</v>
      </c>
      <c r="P48" t="str">
        <f>IF(OR(ISBLANK(tblproducts[[#This Row],[Review]])),"Not Provided",IF(AND(tblproducts[[#This Row],[Review]]&gt;=str_engagement,tblproducts[[#This Row],[Ratings]]&gt;=3,tblproducts[[#This Row],[Ratings]]&lt;4),"Yes","No"))</f>
        <v>Not Provided</v>
      </c>
      <c r="Q48" t="str">
        <f>IF(OR(ISBLANK(tblproducts[[#This Row],[Review]])),"Not Provided",IF(AND(tblproducts[[#This Row],[Review]]&gt;str_engagement,tblproducts[[#This Row],[Ratings]]&gt;=4),"Yes","No"))</f>
        <v>Not Provided</v>
      </c>
    </row>
    <row r="49" spans="1:17" hidden="1" x14ac:dyDescent="0.25">
      <c r="A49" t="s">
        <v>215</v>
      </c>
      <c r="B49" s="3">
        <v>382</v>
      </c>
      <c r="C49" s="3">
        <v>700</v>
      </c>
      <c r="D49" s="1">
        <v>0.45</v>
      </c>
      <c r="E49" s="4">
        <f t="shared" si="7"/>
        <v>0.45428571428571429</v>
      </c>
      <c r="F49">
        <v>17</v>
      </c>
      <c r="G49" s="2">
        <v>2.6</v>
      </c>
      <c r="H49" t="str">
        <f t="shared" si="8"/>
        <v>Ok</v>
      </c>
      <c r="I49" t="str">
        <f t="shared" si="9"/>
        <v>Ok</v>
      </c>
      <c r="J49" t="str">
        <f t="shared" si="10"/>
        <v>Ok</v>
      </c>
      <c r="K49" t="str">
        <f t="shared" si="11"/>
        <v>Poor</v>
      </c>
      <c r="L49" t="str">
        <f t="shared" si="12"/>
        <v>High Discount</v>
      </c>
      <c r="M49" t="str">
        <f t="shared" si="13"/>
        <v>Low Price</v>
      </c>
      <c r="N49" t="str">
        <f>IF(OR(ISBLANK(tblproducts[[#This Row],[Ratings]])),"No Rating",IF(AND(tblproducts[[#This Row],[Calculated Discount]]&gt; High_dis,tblproducts[[#This Row],[Ratings]]&lt;3),"Yes","No"))</f>
        <v>No</v>
      </c>
      <c r="O49" t="str">
        <f>IF(OR(ISBLANK(tblproducts[[#This Row],[Review]])),"No Review",IF(AND(tblproducts[[#This Row],[Calculated Discount]] &gt;High_dis,tblproducts[[#This Row],[Review]]&lt; weak_engagem),"Yes","No"))</f>
        <v>No</v>
      </c>
      <c r="P49" t="str">
        <f>IF(OR(ISBLANK(tblproducts[[#This Row],[Review]])),"Not Provided",IF(AND(tblproducts[[#This Row],[Review]]&gt;=str_engagement,tblproducts[[#This Row],[Ratings]]&gt;=3,tblproducts[[#This Row],[Ratings]]&lt;4),"Yes","No"))</f>
        <v>No</v>
      </c>
      <c r="Q49" t="str">
        <f>IF(OR(ISBLANK(tblproducts[[#This Row],[Review]])),"Not Provided",IF(AND(tblproducts[[#This Row],[Review]]&gt;str_engagement,tblproducts[[#This Row],[Ratings]]&gt;=4),"Yes","No"))</f>
        <v>No</v>
      </c>
    </row>
    <row r="50" spans="1:17" hidden="1" x14ac:dyDescent="0.25">
      <c r="A50" t="s">
        <v>206</v>
      </c>
      <c r="B50" s="3">
        <v>990</v>
      </c>
      <c r="C50" s="3">
        <v>1814</v>
      </c>
      <c r="D50" s="1">
        <v>0.45</v>
      </c>
      <c r="E50" s="4">
        <f t="shared" si="7"/>
        <v>0.45424476295479604</v>
      </c>
      <c r="F50">
        <v>6</v>
      </c>
      <c r="G50" s="2">
        <v>2.2000000000000002</v>
      </c>
      <c r="H50" t="str">
        <f t="shared" si="8"/>
        <v>Ok</v>
      </c>
      <c r="I50" t="str">
        <f t="shared" si="9"/>
        <v>Ok</v>
      </c>
      <c r="J50" t="str">
        <f t="shared" si="10"/>
        <v>Ok</v>
      </c>
      <c r="K50" t="str">
        <f t="shared" si="11"/>
        <v>Poor</v>
      </c>
      <c r="L50" t="str">
        <f t="shared" si="12"/>
        <v>High Discount</v>
      </c>
      <c r="M50" t="str">
        <f t="shared" si="13"/>
        <v>Medium Price</v>
      </c>
      <c r="N50" t="str">
        <f>IF(OR(ISBLANK(tblproducts[[#This Row],[Ratings]])),"No Rating",IF(AND(tblproducts[[#This Row],[Calculated Discount]]&gt; High_dis,tblproducts[[#This Row],[Ratings]]&lt;3),"Yes","No"))</f>
        <v>No</v>
      </c>
      <c r="O50" t="str">
        <f>IF(OR(ISBLANK(tblproducts[[#This Row],[Review]])),"No Review",IF(AND(tblproducts[[#This Row],[Calculated Discount]] &gt;High_dis,tblproducts[[#This Row],[Review]]&lt; weak_engagem),"Yes","No"))</f>
        <v>No</v>
      </c>
      <c r="P50" t="str">
        <f>IF(OR(ISBLANK(tblproducts[[#This Row],[Review]])),"Not Provided",IF(AND(tblproducts[[#This Row],[Review]]&gt;=str_engagement,tblproducts[[#This Row],[Ratings]]&gt;=3,tblproducts[[#This Row],[Ratings]]&lt;4),"Yes","No"))</f>
        <v>No</v>
      </c>
      <c r="Q50" t="str">
        <f>IF(OR(ISBLANK(tblproducts[[#This Row],[Review]])),"Not Provided",IF(AND(tblproducts[[#This Row],[Review]]&gt;str_engagement,tblproducts[[#This Row],[Ratings]]&gt;=4),"Yes","No"))</f>
        <v>No</v>
      </c>
    </row>
    <row r="51" spans="1:17" hidden="1" x14ac:dyDescent="0.25">
      <c r="A51" t="s">
        <v>38</v>
      </c>
      <c r="B51" s="3">
        <v>1600</v>
      </c>
      <c r="C51" s="3">
        <v>2929</v>
      </c>
      <c r="D51" s="1">
        <v>0.45</v>
      </c>
      <c r="E51" s="4">
        <f t="shared" si="7"/>
        <v>0.45373847729600547</v>
      </c>
      <c r="F51">
        <v>5</v>
      </c>
      <c r="G51" s="2">
        <v>3.8</v>
      </c>
      <c r="H51" t="str">
        <f t="shared" si="8"/>
        <v>Ok</v>
      </c>
      <c r="I51" t="str">
        <f t="shared" si="9"/>
        <v>Ok</v>
      </c>
      <c r="J51" t="str">
        <f t="shared" si="10"/>
        <v>Ok</v>
      </c>
      <c r="K51" t="str">
        <f t="shared" si="11"/>
        <v>Average</v>
      </c>
      <c r="L51" t="str">
        <f t="shared" si="12"/>
        <v>High Discount</v>
      </c>
      <c r="M51" t="str">
        <f t="shared" si="13"/>
        <v>Medium Price</v>
      </c>
      <c r="N51" t="str">
        <f>IF(OR(ISBLANK(tblproducts[[#This Row],[Ratings]])),"No Rating",IF(AND(tblproducts[[#This Row],[Calculated Discount]]&gt; High_dis,tblproducts[[#This Row],[Ratings]]&lt;3),"Yes","No"))</f>
        <v>No</v>
      </c>
      <c r="O51" t="str">
        <f>IF(OR(ISBLANK(tblproducts[[#This Row],[Review]])),"No Review",IF(AND(tblproducts[[#This Row],[Calculated Discount]] &gt;High_dis,tblproducts[[#This Row],[Review]]&lt; weak_engagem),"Yes","No"))</f>
        <v>No</v>
      </c>
      <c r="P51" t="str">
        <f>IF(OR(ISBLANK(tblproducts[[#This Row],[Review]])),"Not Provided",IF(AND(tblproducts[[#This Row],[Review]]&gt;=str_engagement,tblproducts[[#This Row],[Ratings]]&gt;=3,tblproducts[[#This Row],[Ratings]]&lt;4),"Yes","No"))</f>
        <v>No</v>
      </c>
      <c r="Q51" t="str">
        <f>IF(OR(ISBLANK(tblproducts[[#This Row],[Review]])),"Not Provided",IF(AND(tblproducts[[#This Row],[Review]]&gt;str_engagement,tblproducts[[#This Row],[Ratings]]&gt;=4),"Yes","No"))</f>
        <v>No</v>
      </c>
    </row>
    <row r="52" spans="1:17" hidden="1" x14ac:dyDescent="0.25">
      <c r="A52" t="s">
        <v>170</v>
      </c>
      <c r="B52" s="3">
        <v>499</v>
      </c>
      <c r="C52" s="3">
        <v>900</v>
      </c>
      <c r="D52" s="1">
        <v>0.45</v>
      </c>
      <c r="E52" s="4">
        <f t="shared" si="7"/>
        <v>0.44555555555555554</v>
      </c>
      <c r="H52" t="str">
        <f t="shared" si="8"/>
        <v>Check Rating</v>
      </c>
      <c r="I52" t="str">
        <f t="shared" si="9"/>
        <v>Ok</v>
      </c>
      <c r="J52" t="str">
        <f t="shared" si="10"/>
        <v>Ok</v>
      </c>
      <c r="K52" t="str">
        <f t="shared" si="11"/>
        <v>Missing</v>
      </c>
      <c r="L52" t="str">
        <f t="shared" si="12"/>
        <v>High Discount</v>
      </c>
      <c r="M52" t="str">
        <f t="shared" si="13"/>
        <v>Medium Price</v>
      </c>
      <c r="N52" t="str">
        <f>IF(OR(ISBLANK(tblproducts[[#This Row],[Ratings]])),"No Rating",IF(AND(tblproducts[[#This Row],[Calculated Discount]]&gt; High_dis,tblproducts[[#This Row],[Ratings]]&lt;3),"Yes","No"))</f>
        <v>No Rating</v>
      </c>
      <c r="O52" t="str">
        <f>IF(OR(ISBLANK(tblproducts[[#This Row],[Review]])),"No Review",IF(AND(tblproducts[[#This Row],[Calculated Discount]] &gt;High_dis,tblproducts[[#This Row],[Review]]&lt; weak_engagem),"Yes","No"))</f>
        <v>No Review</v>
      </c>
      <c r="P52" t="str">
        <f>IF(OR(ISBLANK(tblproducts[[#This Row],[Review]])),"Not Provided",IF(AND(tblproducts[[#This Row],[Review]]&gt;=str_engagement,tblproducts[[#This Row],[Ratings]]&gt;=3,tblproducts[[#This Row],[Ratings]]&lt;4),"Yes","No"))</f>
        <v>Not Provided</v>
      </c>
      <c r="Q52" t="str">
        <f>IF(OR(ISBLANK(tblproducts[[#This Row],[Review]])),"Not Provided",IF(AND(tblproducts[[#This Row],[Review]]&gt;str_engagement,tblproducts[[#This Row],[Ratings]]&gt;=4),"Yes","No"))</f>
        <v>Not Provided</v>
      </c>
    </row>
    <row r="53" spans="1:17" hidden="1" x14ac:dyDescent="0.25">
      <c r="A53" t="s">
        <v>221</v>
      </c>
      <c r="B53" s="3">
        <v>345</v>
      </c>
      <c r="C53" s="3">
        <v>602</v>
      </c>
      <c r="D53" s="1">
        <v>0.43</v>
      </c>
      <c r="E53" s="4">
        <f t="shared" si="7"/>
        <v>0.42691029900332228</v>
      </c>
      <c r="F53">
        <v>6</v>
      </c>
      <c r="G53" s="2">
        <v>2.2999999999999998</v>
      </c>
      <c r="H53" t="str">
        <f t="shared" si="8"/>
        <v>Ok</v>
      </c>
      <c r="I53" t="str">
        <f t="shared" si="9"/>
        <v>Ok</v>
      </c>
      <c r="J53" t="str">
        <f t="shared" si="10"/>
        <v>Ok</v>
      </c>
      <c r="K53" t="str">
        <f t="shared" si="11"/>
        <v>Poor</v>
      </c>
      <c r="L53" t="str">
        <f t="shared" si="12"/>
        <v>High Discount</v>
      </c>
      <c r="M53" t="str">
        <f t="shared" si="13"/>
        <v>Low Price</v>
      </c>
      <c r="N53" t="str">
        <f>IF(OR(ISBLANK(tblproducts[[#This Row],[Ratings]])),"No Rating",IF(AND(tblproducts[[#This Row],[Calculated Discount]]&gt; High_dis,tblproducts[[#This Row],[Ratings]]&lt;3),"Yes","No"))</f>
        <v>No</v>
      </c>
      <c r="O53" t="str">
        <f>IF(OR(ISBLANK(tblproducts[[#This Row],[Review]])),"No Review",IF(AND(tblproducts[[#This Row],[Calculated Discount]] &gt;High_dis,tblproducts[[#This Row],[Review]]&lt; weak_engagem),"Yes","No"))</f>
        <v>No</v>
      </c>
      <c r="P53" t="str">
        <f>IF(OR(ISBLANK(tblproducts[[#This Row],[Review]])),"Not Provided",IF(AND(tblproducts[[#This Row],[Review]]&gt;=str_engagement,tblproducts[[#This Row],[Ratings]]&gt;=3,tblproducts[[#This Row],[Ratings]]&lt;4),"Yes","No"))</f>
        <v>No</v>
      </c>
      <c r="Q53" t="str">
        <f>IF(OR(ISBLANK(tblproducts[[#This Row],[Review]])),"Not Provided",IF(AND(tblproducts[[#This Row],[Review]]&gt;str_engagement,tblproducts[[#This Row],[Ratings]]&gt;=4),"Yes","No"))</f>
        <v>No</v>
      </c>
    </row>
    <row r="54" spans="1:17" hidden="1" x14ac:dyDescent="0.25">
      <c r="A54" t="s">
        <v>224</v>
      </c>
      <c r="B54" s="3">
        <v>509</v>
      </c>
      <c r="C54" s="3">
        <v>899</v>
      </c>
      <c r="D54" s="1">
        <v>0.43</v>
      </c>
      <c r="E54" s="4">
        <f t="shared" si="7"/>
        <v>0.43381535038932145</v>
      </c>
      <c r="F54">
        <v>5</v>
      </c>
      <c r="G54" s="2">
        <v>3</v>
      </c>
      <c r="H54" t="str">
        <f t="shared" si="8"/>
        <v>Ok</v>
      </c>
      <c r="I54" t="str">
        <f t="shared" si="9"/>
        <v>Ok</v>
      </c>
      <c r="J54" t="str">
        <f t="shared" si="10"/>
        <v>Ok</v>
      </c>
      <c r="K54" t="str">
        <f t="shared" si="11"/>
        <v>Average</v>
      </c>
      <c r="L54" t="str">
        <f t="shared" si="12"/>
        <v>High Discount</v>
      </c>
      <c r="M54" t="str">
        <f t="shared" si="13"/>
        <v>Medium Price</v>
      </c>
      <c r="N54" t="str">
        <f>IF(OR(ISBLANK(tblproducts[[#This Row],[Ratings]])),"No Rating",IF(AND(tblproducts[[#This Row],[Calculated Discount]]&gt; High_dis,tblproducts[[#This Row],[Ratings]]&lt;3),"Yes","No"))</f>
        <v>No</v>
      </c>
      <c r="O54" t="str">
        <f>IF(OR(ISBLANK(tblproducts[[#This Row],[Review]])),"No Review",IF(AND(tblproducts[[#This Row],[Calculated Discount]] &gt;High_dis,tblproducts[[#This Row],[Review]]&lt; weak_engagem),"Yes","No"))</f>
        <v>No</v>
      </c>
      <c r="P54" t="str">
        <f>IF(OR(ISBLANK(tblproducts[[#This Row],[Review]])),"Not Provided",IF(AND(tblproducts[[#This Row],[Review]]&gt;=str_engagement,tblproducts[[#This Row],[Ratings]]&gt;=3,tblproducts[[#This Row],[Ratings]]&lt;4),"Yes","No"))</f>
        <v>No</v>
      </c>
      <c r="Q54" t="str">
        <f>IF(OR(ISBLANK(tblproducts[[#This Row],[Review]])),"Not Provided",IF(AND(tblproducts[[#This Row],[Review]]&gt;str_engagement,tblproducts[[#This Row],[Ratings]]&gt;=4),"Yes","No"))</f>
        <v>No</v>
      </c>
    </row>
    <row r="55" spans="1:17" hidden="1" x14ac:dyDescent="0.25">
      <c r="A55" t="s">
        <v>235</v>
      </c>
      <c r="B55" s="3">
        <v>690</v>
      </c>
      <c r="C55" s="3">
        <v>1200</v>
      </c>
      <c r="D55" s="1">
        <v>0.43</v>
      </c>
      <c r="E55" s="4">
        <f t="shared" si="7"/>
        <v>0.42499999999999999</v>
      </c>
      <c r="H55" t="str">
        <f t="shared" si="8"/>
        <v>Check Rating</v>
      </c>
      <c r="I55" t="str">
        <f t="shared" si="9"/>
        <v>Ok</v>
      </c>
      <c r="J55" t="str">
        <f t="shared" si="10"/>
        <v>Ok</v>
      </c>
      <c r="K55" t="str">
        <f t="shared" si="11"/>
        <v>Missing</v>
      </c>
      <c r="L55" t="str">
        <f t="shared" si="12"/>
        <v>High Discount</v>
      </c>
      <c r="M55" t="str">
        <f t="shared" si="13"/>
        <v>Medium Price</v>
      </c>
      <c r="N55" t="str">
        <f>IF(OR(ISBLANK(tblproducts[[#This Row],[Ratings]])),"No Rating",IF(AND(tblproducts[[#This Row],[Calculated Discount]]&gt; High_dis,tblproducts[[#This Row],[Ratings]]&lt;3),"Yes","No"))</f>
        <v>No Rating</v>
      </c>
      <c r="O55" t="str">
        <f>IF(OR(ISBLANK(tblproducts[[#This Row],[Review]])),"No Review",IF(AND(tblproducts[[#This Row],[Calculated Discount]] &gt;High_dis,tblproducts[[#This Row],[Review]]&lt; weak_engagem),"Yes","No"))</f>
        <v>No Review</v>
      </c>
      <c r="P55" t="str">
        <f>IF(OR(ISBLANK(tblproducts[[#This Row],[Review]])),"Not Provided",IF(AND(tblproducts[[#This Row],[Review]]&gt;=str_engagement,tblproducts[[#This Row],[Ratings]]&gt;=3,tblproducts[[#This Row],[Ratings]]&lt;4),"Yes","No"))</f>
        <v>Not Provided</v>
      </c>
      <c r="Q55" t="str">
        <f>IF(OR(ISBLANK(tblproducts[[#This Row],[Review]])),"Not Provided",IF(AND(tblproducts[[#This Row],[Review]]&gt;str_engagement,tblproducts[[#This Row],[Ratings]]&gt;=4),"Yes","No"))</f>
        <v>Not Provided</v>
      </c>
    </row>
    <row r="56" spans="1:17" hidden="1" x14ac:dyDescent="0.25">
      <c r="A56" t="s">
        <v>266</v>
      </c>
      <c r="B56" s="3">
        <v>630</v>
      </c>
      <c r="C56" s="3">
        <v>1100</v>
      </c>
      <c r="D56" s="1">
        <v>0.43</v>
      </c>
      <c r="E56" s="4">
        <f t="shared" si="7"/>
        <v>0.42727272727272725</v>
      </c>
      <c r="H56" t="str">
        <f t="shared" si="8"/>
        <v>Check Rating</v>
      </c>
      <c r="I56" t="str">
        <f t="shared" si="9"/>
        <v>Ok</v>
      </c>
      <c r="J56" t="str">
        <f t="shared" si="10"/>
        <v>Ok</v>
      </c>
      <c r="K56" t="str">
        <f t="shared" si="11"/>
        <v>Missing</v>
      </c>
      <c r="L56" t="str">
        <f t="shared" si="12"/>
        <v>High Discount</v>
      </c>
      <c r="M56" t="str">
        <f t="shared" si="13"/>
        <v>Medium Price</v>
      </c>
      <c r="N56" t="str">
        <f>IF(OR(ISBLANK(tblproducts[[#This Row],[Ratings]])),"No Rating",IF(AND(tblproducts[[#This Row],[Calculated Discount]]&gt; High_dis,tblproducts[[#This Row],[Ratings]]&lt;3),"Yes","No"))</f>
        <v>No Rating</v>
      </c>
      <c r="O56" t="str">
        <f>IF(OR(ISBLANK(tblproducts[[#This Row],[Review]])),"No Review",IF(AND(tblproducts[[#This Row],[Calculated Discount]] &gt;High_dis,tblproducts[[#This Row],[Review]]&lt; weak_engagem),"Yes","No"))</f>
        <v>No Review</v>
      </c>
      <c r="P56" t="str">
        <f>IF(OR(ISBLANK(tblproducts[[#This Row],[Review]])),"Not Provided",IF(AND(tblproducts[[#This Row],[Review]]&gt;=str_engagement,tblproducts[[#This Row],[Ratings]]&gt;=3,tblproducts[[#This Row],[Ratings]]&lt;4),"Yes","No"))</f>
        <v>Not Provided</v>
      </c>
      <c r="Q56" t="str">
        <f>IF(OR(ISBLANK(tblproducts[[#This Row],[Review]])),"Not Provided",IF(AND(tblproducts[[#This Row],[Review]]&gt;str_engagement,tblproducts[[#This Row],[Ratings]]&gt;=4),"Yes","No"))</f>
        <v>Not Provided</v>
      </c>
    </row>
    <row r="57" spans="1:17" hidden="1" x14ac:dyDescent="0.25">
      <c r="A57" t="s">
        <v>50</v>
      </c>
      <c r="B57" s="3">
        <v>501</v>
      </c>
      <c r="C57" s="3">
        <v>860</v>
      </c>
      <c r="D57" s="1">
        <v>0.42</v>
      </c>
      <c r="E57" s="4">
        <f t="shared" si="7"/>
        <v>0.41744186046511628</v>
      </c>
      <c r="F57">
        <v>6</v>
      </c>
      <c r="G57" s="2">
        <v>4.5</v>
      </c>
      <c r="H57" t="str">
        <f t="shared" si="8"/>
        <v>Ok</v>
      </c>
      <c r="I57" t="str">
        <f t="shared" si="9"/>
        <v>Ok</v>
      </c>
      <c r="J57" t="str">
        <f t="shared" si="10"/>
        <v>Ok</v>
      </c>
      <c r="K57" t="str">
        <f t="shared" si="11"/>
        <v>Excellent</v>
      </c>
      <c r="L57" t="str">
        <f t="shared" si="12"/>
        <v>High Discount</v>
      </c>
      <c r="M57" t="str">
        <f t="shared" si="13"/>
        <v>Medium Price</v>
      </c>
      <c r="N57" t="str">
        <f>IF(OR(ISBLANK(tblproducts[[#This Row],[Ratings]])),"No Rating",IF(AND(tblproducts[[#This Row],[Calculated Discount]]&gt; High_dis,tblproducts[[#This Row],[Ratings]]&lt;3),"Yes","No"))</f>
        <v>No</v>
      </c>
      <c r="O57" t="str">
        <f>IF(OR(ISBLANK(tblproducts[[#This Row],[Review]])),"No Review",IF(AND(tblproducts[[#This Row],[Calculated Discount]] &gt;High_dis,tblproducts[[#This Row],[Review]]&lt; weak_engagem),"Yes","No"))</f>
        <v>No</v>
      </c>
      <c r="P57" t="str">
        <f>IF(OR(ISBLANK(tblproducts[[#This Row],[Review]])),"Not Provided",IF(AND(tblproducts[[#This Row],[Review]]&gt;=str_engagement,tblproducts[[#This Row],[Ratings]]&gt;=3,tblproducts[[#This Row],[Ratings]]&lt;4),"Yes","No"))</f>
        <v>No</v>
      </c>
      <c r="Q57" t="str">
        <f>IF(OR(ISBLANK(tblproducts[[#This Row],[Review]])),"Not Provided",IF(AND(tblproducts[[#This Row],[Review]]&gt;str_engagement,tblproducts[[#This Row],[Ratings]]&gt;=4),"Yes","No"))</f>
        <v>No</v>
      </c>
    </row>
    <row r="58" spans="1:17" hidden="1" x14ac:dyDescent="0.25">
      <c r="A58" t="s">
        <v>75</v>
      </c>
      <c r="B58" s="3">
        <v>1860</v>
      </c>
      <c r="C58" s="3">
        <v>3220</v>
      </c>
      <c r="D58" s="1">
        <v>0.42</v>
      </c>
      <c r="E58" s="4">
        <f t="shared" si="7"/>
        <v>0.42236024844720499</v>
      </c>
      <c r="H58" t="str">
        <f t="shared" si="8"/>
        <v>Check Rating</v>
      </c>
      <c r="I58" t="str">
        <f t="shared" si="9"/>
        <v>Ok</v>
      </c>
      <c r="J58" t="str">
        <f t="shared" si="10"/>
        <v>Ok</v>
      </c>
      <c r="K58" t="str">
        <f t="shared" si="11"/>
        <v>Missing</v>
      </c>
      <c r="L58" t="str">
        <f t="shared" si="12"/>
        <v>High Discount</v>
      </c>
      <c r="M58" t="str">
        <f t="shared" si="13"/>
        <v>High Price</v>
      </c>
      <c r="N58" t="str">
        <f>IF(OR(ISBLANK(tblproducts[[#This Row],[Ratings]])),"No Rating",IF(AND(tblproducts[[#This Row],[Calculated Discount]]&gt; High_dis,tblproducts[[#This Row],[Ratings]]&lt;3),"Yes","No"))</f>
        <v>No Rating</v>
      </c>
      <c r="O58" t="str">
        <f>IF(OR(ISBLANK(tblproducts[[#This Row],[Review]])),"No Review",IF(AND(tblproducts[[#This Row],[Calculated Discount]] &gt;High_dis,tblproducts[[#This Row],[Review]]&lt; weak_engagem),"Yes","No"))</f>
        <v>No Review</v>
      </c>
      <c r="P58" t="str">
        <f>IF(OR(ISBLANK(tblproducts[[#This Row],[Review]])),"Not Provided",IF(AND(tblproducts[[#This Row],[Review]]&gt;=str_engagement,tblproducts[[#This Row],[Ratings]]&gt;=3,tblproducts[[#This Row],[Ratings]]&lt;4),"Yes","No"))</f>
        <v>Not Provided</v>
      </c>
      <c r="Q58" t="str">
        <f>IF(OR(ISBLANK(tblproducts[[#This Row],[Review]])),"Not Provided",IF(AND(tblproducts[[#This Row],[Review]]&gt;str_engagement,tblproducts[[#This Row],[Ratings]]&gt;=4),"Yes","No"))</f>
        <v>Not Provided</v>
      </c>
    </row>
    <row r="59" spans="1:17" hidden="1" x14ac:dyDescent="0.25">
      <c r="A59" t="s">
        <v>137</v>
      </c>
      <c r="B59" s="3">
        <v>610</v>
      </c>
      <c r="C59" s="3">
        <v>1060</v>
      </c>
      <c r="D59" s="1">
        <v>0.42</v>
      </c>
      <c r="E59" s="4">
        <f t="shared" si="7"/>
        <v>0.42452830188679247</v>
      </c>
      <c r="H59" t="str">
        <f t="shared" si="8"/>
        <v>Check Rating</v>
      </c>
      <c r="I59" t="str">
        <f t="shared" si="9"/>
        <v>Ok</v>
      </c>
      <c r="J59" t="str">
        <f t="shared" si="10"/>
        <v>Ok</v>
      </c>
      <c r="K59" t="str">
        <f t="shared" si="11"/>
        <v>Missing</v>
      </c>
      <c r="L59" t="str">
        <f t="shared" si="12"/>
        <v>High Discount</v>
      </c>
      <c r="M59" t="str">
        <f t="shared" si="13"/>
        <v>Medium Price</v>
      </c>
      <c r="N59" t="str">
        <f>IF(OR(ISBLANK(tblproducts[[#This Row],[Ratings]])),"No Rating",IF(AND(tblproducts[[#This Row],[Calculated Discount]]&gt; High_dis,tblproducts[[#This Row],[Ratings]]&lt;3),"Yes","No"))</f>
        <v>No Rating</v>
      </c>
      <c r="O59" t="str">
        <f>IF(OR(ISBLANK(tblproducts[[#This Row],[Review]])),"No Review",IF(AND(tblproducts[[#This Row],[Calculated Discount]] &gt;High_dis,tblproducts[[#This Row],[Review]]&lt; weak_engagem),"Yes","No"))</f>
        <v>No Review</v>
      </c>
      <c r="P59" t="str">
        <f>IF(OR(ISBLANK(tblproducts[[#This Row],[Review]])),"Not Provided",IF(AND(tblproducts[[#This Row],[Review]]&gt;=str_engagement,tblproducts[[#This Row],[Ratings]]&gt;=3,tblproducts[[#This Row],[Ratings]]&lt;4),"Yes","No"))</f>
        <v>Not Provided</v>
      </c>
      <c r="Q59" t="str">
        <f>IF(OR(ISBLANK(tblproducts[[#This Row],[Review]])),"Not Provided",IF(AND(tblproducts[[#This Row],[Review]]&gt;str_engagement,tblproducts[[#This Row],[Ratings]]&gt;=4),"Yes","No"))</f>
        <v>Not Provided</v>
      </c>
    </row>
    <row r="60" spans="1:17" hidden="1" x14ac:dyDescent="0.25">
      <c r="A60" t="s">
        <v>292</v>
      </c>
      <c r="B60" s="3">
        <v>1080</v>
      </c>
      <c r="C60" s="3">
        <v>1874</v>
      </c>
      <c r="D60" s="1">
        <v>0.42</v>
      </c>
      <c r="E60" s="4">
        <f t="shared" si="7"/>
        <v>0.42369263607257202</v>
      </c>
      <c r="H60" t="str">
        <f t="shared" si="8"/>
        <v>Check Rating</v>
      </c>
      <c r="I60" t="str">
        <f t="shared" si="9"/>
        <v>Ok</v>
      </c>
      <c r="J60" t="str">
        <f t="shared" si="10"/>
        <v>Ok</v>
      </c>
      <c r="K60" t="str">
        <f t="shared" si="11"/>
        <v>Missing</v>
      </c>
      <c r="L60" t="str">
        <f t="shared" si="12"/>
        <v>High Discount</v>
      </c>
      <c r="M60" t="str">
        <f t="shared" si="13"/>
        <v>Medium Price</v>
      </c>
      <c r="N60" t="str">
        <f>IF(OR(ISBLANK(tblproducts[[#This Row],[Ratings]])),"No Rating",IF(AND(tblproducts[[#This Row],[Calculated Discount]]&gt; High_dis,tblproducts[[#This Row],[Ratings]]&lt;3),"Yes","No"))</f>
        <v>No Rating</v>
      </c>
      <c r="O60" t="str">
        <f>IF(OR(ISBLANK(tblproducts[[#This Row],[Review]])),"No Review",IF(AND(tblproducts[[#This Row],[Calculated Discount]] &gt;High_dis,tblproducts[[#This Row],[Review]]&lt; weak_engagem),"Yes","No"))</f>
        <v>No Review</v>
      </c>
      <c r="P60" t="str">
        <f>IF(OR(ISBLANK(tblproducts[[#This Row],[Review]])),"Not Provided",IF(AND(tblproducts[[#This Row],[Review]]&gt;=str_engagement,tblproducts[[#This Row],[Ratings]]&gt;=3,tblproducts[[#This Row],[Ratings]]&lt;4),"Yes","No"))</f>
        <v>Not Provided</v>
      </c>
      <c r="Q60" t="str">
        <f>IF(OR(ISBLANK(tblproducts[[#This Row],[Review]])),"Not Provided",IF(AND(tblproducts[[#This Row],[Review]]&gt;str_engagement,tblproducts[[#This Row],[Ratings]]&gt;=4),"Yes","No"))</f>
        <v>Not Provided</v>
      </c>
    </row>
    <row r="61" spans="1:17" hidden="1" x14ac:dyDescent="0.25">
      <c r="A61" t="s">
        <v>122</v>
      </c>
      <c r="B61" s="3">
        <v>389</v>
      </c>
      <c r="C61" s="3">
        <v>656</v>
      </c>
      <c r="D61" s="1">
        <v>0.41</v>
      </c>
      <c r="E61" s="4">
        <f t="shared" si="7"/>
        <v>0.40701219512195119</v>
      </c>
      <c r="F61">
        <v>36</v>
      </c>
      <c r="G61" s="2">
        <v>4.3</v>
      </c>
      <c r="H61" t="str">
        <f t="shared" si="8"/>
        <v>Ok</v>
      </c>
      <c r="I61" t="str">
        <f t="shared" si="9"/>
        <v>Ok</v>
      </c>
      <c r="J61" t="str">
        <f t="shared" si="10"/>
        <v>Ok</v>
      </c>
      <c r="K61" t="str">
        <f t="shared" si="11"/>
        <v>Excellent</v>
      </c>
      <c r="L61" t="str">
        <f t="shared" si="12"/>
        <v>High Discount</v>
      </c>
      <c r="M61" t="str">
        <f t="shared" si="13"/>
        <v>Low Price</v>
      </c>
      <c r="N61" t="str">
        <f>IF(OR(ISBLANK(tblproducts[[#This Row],[Ratings]])),"No Rating",IF(AND(tblproducts[[#This Row],[Calculated Discount]]&gt; High_dis,tblproducts[[#This Row],[Ratings]]&lt;3),"Yes","No"))</f>
        <v>No</v>
      </c>
      <c r="O61" t="str">
        <f>IF(OR(ISBLANK(tblproducts[[#This Row],[Review]])),"No Review",IF(AND(tblproducts[[#This Row],[Calculated Discount]] &gt;High_dis,tblproducts[[#This Row],[Review]]&lt; weak_engagem),"Yes","No"))</f>
        <v>No</v>
      </c>
      <c r="P61" t="str">
        <f>IF(OR(ISBLANK(tblproducts[[#This Row],[Review]])),"Not Provided",IF(AND(tblproducts[[#This Row],[Review]]&gt;=str_engagement,tblproducts[[#This Row],[Ratings]]&gt;=3,tblproducts[[#This Row],[Ratings]]&lt;4),"Yes","No"))</f>
        <v>No</v>
      </c>
      <c r="Q61" t="str">
        <f>IF(OR(ISBLANK(tblproducts[[#This Row],[Review]])),"Not Provided",IF(AND(tblproducts[[#This Row],[Review]]&gt;str_engagement,tblproducts[[#This Row],[Ratings]]&gt;=4),"Yes","No"))</f>
        <v>Yes</v>
      </c>
    </row>
    <row r="62" spans="1:17" hidden="1" x14ac:dyDescent="0.25">
      <c r="A62" t="s">
        <v>168</v>
      </c>
      <c r="B62" s="3">
        <v>799</v>
      </c>
      <c r="C62" s="3">
        <v>1343</v>
      </c>
      <c r="D62" s="1">
        <v>0.41</v>
      </c>
      <c r="E62" s="4">
        <f t="shared" si="7"/>
        <v>0.4050632911392405</v>
      </c>
      <c r="H62" t="str">
        <f t="shared" si="8"/>
        <v>Check Rating</v>
      </c>
      <c r="I62" t="str">
        <f t="shared" si="9"/>
        <v>Ok</v>
      </c>
      <c r="J62" t="str">
        <f t="shared" si="10"/>
        <v>Ok</v>
      </c>
      <c r="K62" t="str">
        <f t="shared" si="11"/>
        <v>Missing</v>
      </c>
      <c r="L62" t="str">
        <f t="shared" si="12"/>
        <v>High Discount</v>
      </c>
      <c r="M62" t="str">
        <f t="shared" si="13"/>
        <v>Medium Price</v>
      </c>
      <c r="N62" t="str">
        <f>IF(OR(ISBLANK(tblproducts[[#This Row],[Ratings]])),"No Rating",IF(AND(tblproducts[[#This Row],[Calculated Discount]]&gt; High_dis,tblproducts[[#This Row],[Ratings]]&lt;3),"Yes","No"))</f>
        <v>No Rating</v>
      </c>
      <c r="O62" t="str">
        <f>IF(OR(ISBLANK(tblproducts[[#This Row],[Review]])),"No Review",IF(AND(tblproducts[[#This Row],[Calculated Discount]] &gt;High_dis,tblproducts[[#This Row],[Review]]&lt; weak_engagem),"Yes","No"))</f>
        <v>No Review</v>
      </c>
      <c r="P62" t="str">
        <f>IF(OR(ISBLANK(tblproducts[[#This Row],[Review]])),"Not Provided",IF(AND(tblproducts[[#This Row],[Review]]&gt;=str_engagement,tblproducts[[#This Row],[Ratings]]&gt;=3,tblproducts[[#This Row],[Ratings]]&lt;4),"Yes","No"))</f>
        <v>Not Provided</v>
      </c>
      <c r="Q62" t="str">
        <f>IF(OR(ISBLANK(tblproducts[[#This Row],[Review]])),"Not Provided",IF(AND(tblproducts[[#This Row],[Review]]&gt;str_engagement,tblproducts[[#This Row],[Ratings]]&gt;=4),"Yes","No"))</f>
        <v>Not Provided</v>
      </c>
    </row>
    <row r="63" spans="1:17" hidden="1" x14ac:dyDescent="0.25">
      <c r="A63" t="s">
        <v>298</v>
      </c>
      <c r="B63" s="3">
        <v>1420</v>
      </c>
      <c r="C63" s="3">
        <v>2420</v>
      </c>
      <c r="D63" s="1">
        <v>0.41</v>
      </c>
      <c r="E63" s="4">
        <f t="shared" si="7"/>
        <v>0.41322314049586778</v>
      </c>
      <c r="H63" t="str">
        <f t="shared" si="8"/>
        <v>Check Rating</v>
      </c>
      <c r="I63" t="str">
        <f t="shared" si="9"/>
        <v>Ok</v>
      </c>
      <c r="J63" t="str">
        <f t="shared" si="10"/>
        <v>Ok</v>
      </c>
      <c r="K63" t="str">
        <f t="shared" si="11"/>
        <v>Missing</v>
      </c>
      <c r="L63" t="str">
        <f t="shared" si="12"/>
        <v>High Discount</v>
      </c>
      <c r="M63" t="str">
        <f t="shared" si="13"/>
        <v>Medium Price</v>
      </c>
      <c r="N63" t="str">
        <f>IF(OR(ISBLANK(tblproducts[[#This Row],[Ratings]])),"No Rating",IF(AND(tblproducts[[#This Row],[Calculated Discount]]&gt; High_dis,tblproducts[[#This Row],[Ratings]]&lt;3),"Yes","No"))</f>
        <v>No Rating</v>
      </c>
      <c r="O63" t="str">
        <f>IF(OR(ISBLANK(tblproducts[[#This Row],[Review]])),"No Review",IF(AND(tblproducts[[#This Row],[Calculated Discount]] &gt;High_dis,tblproducts[[#This Row],[Review]]&lt; weak_engagem),"Yes","No"))</f>
        <v>No Review</v>
      </c>
      <c r="P63" t="str">
        <f>IF(OR(ISBLANK(tblproducts[[#This Row],[Review]])),"Not Provided",IF(AND(tblproducts[[#This Row],[Review]]&gt;=str_engagement,tblproducts[[#This Row],[Ratings]]&gt;=3,tblproducts[[#This Row],[Ratings]]&lt;4),"Yes","No"))</f>
        <v>Not Provided</v>
      </c>
      <c r="Q63" t="str">
        <f>IF(OR(ISBLANK(tblproducts[[#This Row],[Review]])),"Not Provided",IF(AND(tblproducts[[#This Row],[Review]]&gt;str_engagement,tblproducts[[#This Row],[Ratings]]&gt;=4),"Yes","No"))</f>
        <v>Not Provided</v>
      </c>
    </row>
    <row r="64" spans="1:17" hidden="1" x14ac:dyDescent="0.25">
      <c r="A64" t="s">
        <v>117</v>
      </c>
      <c r="B64" s="3">
        <v>1620</v>
      </c>
      <c r="C64" s="3">
        <v>2690</v>
      </c>
      <c r="D64" s="1">
        <v>0.4</v>
      </c>
      <c r="E64" s="4">
        <f t="shared" si="7"/>
        <v>0.39776951672862454</v>
      </c>
      <c r="F64">
        <v>1</v>
      </c>
      <c r="G64" s="2">
        <v>5</v>
      </c>
      <c r="H64" t="str">
        <f t="shared" si="8"/>
        <v>Ok</v>
      </c>
      <c r="I64" t="str">
        <f t="shared" si="9"/>
        <v>Ok</v>
      </c>
      <c r="J64" t="str">
        <f t="shared" si="10"/>
        <v>Ok</v>
      </c>
      <c r="K64" t="str">
        <f t="shared" si="11"/>
        <v>Excellent</v>
      </c>
      <c r="L64" t="str">
        <f t="shared" si="12"/>
        <v>Medium Discount</v>
      </c>
      <c r="M64" t="str">
        <f t="shared" si="13"/>
        <v>Medium Price</v>
      </c>
      <c r="N64" t="str">
        <f>IF(OR(ISBLANK(tblproducts[[#This Row],[Ratings]])),"No Rating",IF(AND(tblproducts[[#This Row],[Calculated Discount]]&gt; High_dis,tblproducts[[#This Row],[Ratings]]&lt;3),"Yes","No"))</f>
        <v>No</v>
      </c>
      <c r="O64" t="str">
        <f>IF(OR(ISBLANK(tblproducts[[#This Row],[Review]])),"No Review",IF(AND(tblproducts[[#This Row],[Calculated Discount]] &gt;High_dis,tblproducts[[#This Row],[Review]]&lt; weak_engagem),"Yes","No"))</f>
        <v>No</v>
      </c>
      <c r="P64" t="str">
        <f>IF(OR(ISBLANK(tblproducts[[#This Row],[Review]])),"Not Provided",IF(AND(tblproducts[[#This Row],[Review]]&gt;=str_engagement,tblproducts[[#This Row],[Ratings]]&gt;=3,tblproducts[[#This Row],[Ratings]]&lt;4),"Yes","No"))</f>
        <v>No</v>
      </c>
      <c r="Q64" t="str">
        <f>IF(OR(ISBLANK(tblproducts[[#This Row],[Review]])),"Not Provided",IF(AND(tblproducts[[#This Row],[Review]]&gt;str_engagement,tblproducts[[#This Row],[Ratings]]&gt;=4),"Yes","No"))</f>
        <v>No</v>
      </c>
    </row>
    <row r="65" spans="1:17" hidden="1" x14ac:dyDescent="0.25">
      <c r="A65" t="s">
        <v>212</v>
      </c>
      <c r="B65" s="3">
        <v>3750</v>
      </c>
      <c r="C65" s="3">
        <v>6143</v>
      </c>
      <c r="D65" s="1">
        <v>0.39</v>
      </c>
      <c r="E65" s="4">
        <f t="shared" si="7"/>
        <v>0.38954908025394758</v>
      </c>
      <c r="F65">
        <v>5</v>
      </c>
      <c r="G65" s="2">
        <v>3</v>
      </c>
      <c r="H65" t="str">
        <f t="shared" si="8"/>
        <v>Ok</v>
      </c>
      <c r="I65" t="str">
        <f t="shared" si="9"/>
        <v>Ok</v>
      </c>
      <c r="J65" t="str">
        <f t="shared" si="10"/>
        <v>Ok</v>
      </c>
      <c r="K65" t="str">
        <f t="shared" si="11"/>
        <v>Average</v>
      </c>
      <c r="L65" t="str">
        <f t="shared" si="12"/>
        <v>Medium Discount</v>
      </c>
      <c r="M65" t="str">
        <f t="shared" si="13"/>
        <v>High Price</v>
      </c>
      <c r="N65" t="str">
        <f>IF(OR(ISBLANK(tblproducts[[#This Row],[Ratings]])),"No Rating",IF(AND(tblproducts[[#This Row],[Calculated Discount]]&gt; High_dis,tblproducts[[#This Row],[Ratings]]&lt;3),"Yes","No"))</f>
        <v>No</v>
      </c>
      <c r="O65" t="str">
        <f>IF(OR(ISBLANK(tblproducts[[#This Row],[Review]])),"No Review",IF(AND(tblproducts[[#This Row],[Calculated Discount]] &gt;High_dis,tblproducts[[#This Row],[Review]]&lt; weak_engagem),"Yes","No"))</f>
        <v>No</v>
      </c>
      <c r="P65" t="str">
        <f>IF(OR(ISBLANK(tblproducts[[#This Row],[Review]])),"Not Provided",IF(AND(tblproducts[[#This Row],[Review]]&gt;=str_engagement,tblproducts[[#This Row],[Ratings]]&gt;=3,tblproducts[[#This Row],[Ratings]]&lt;4),"Yes","No"))</f>
        <v>No</v>
      </c>
      <c r="Q65" t="str">
        <f>IF(OR(ISBLANK(tblproducts[[#This Row],[Review]])),"Not Provided",IF(AND(tblproducts[[#This Row],[Review]]&gt;str_engagement,tblproducts[[#This Row],[Ratings]]&gt;=4),"Yes","No"))</f>
        <v>No</v>
      </c>
    </row>
    <row r="66" spans="1:17" hidden="1" x14ac:dyDescent="0.25">
      <c r="A66" t="s">
        <v>6</v>
      </c>
      <c r="B66" s="3">
        <v>950</v>
      </c>
      <c r="C66" s="3">
        <v>1525</v>
      </c>
      <c r="D66" s="1">
        <v>0.38</v>
      </c>
      <c r="E66" s="4">
        <f t="shared" ref="E66:E97" si="14">(C66-B66)/C66</f>
        <v>0.37704918032786883</v>
      </c>
      <c r="F66">
        <v>2</v>
      </c>
      <c r="G66" s="2">
        <v>4.5</v>
      </c>
      <c r="H66" t="str">
        <f t="shared" ref="H66:H97" si="15">IF(OR(G66&lt;0,G66&gt;5,ISBLANK(G66)),"Check Rating","Ok")</f>
        <v>Ok</v>
      </c>
      <c r="I66" t="str">
        <f t="shared" ref="I66:I97" si="16">IF(OR(E66&lt;0,E66&gt;100),"Discount ","Ok")</f>
        <v>Ok</v>
      </c>
      <c r="J66" t="str">
        <f t="shared" ref="J66:J97" si="17">IF(OR(B66&gt;C66),"Check Prices","Ok")</f>
        <v>Ok</v>
      </c>
      <c r="K66" t="str">
        <f t="shared" ref="K66:K97" si="18">IF(ISBLANK(G66),"Missing",IF(G66&lt;3,"Poor",IF(G66&lt;4,"Average","Excellent")))</f>
        <v>Excellent</v>
      </c>
      <c r="L66" t="str">
        <f t="shared" ref="L66:L97" si="19">IF(E66&lt;20%,"Low Discount",IF(E66&lt;40%,"Medium Discount","High Discount"))</f>
        <v>Medium Discount</v>
      </c>
      <c r="M66" t="str">
        <f t="shared" ref="M66:M97" si="20">IF(B66&lt;Price_Q1,"Low Price",IF(B66&lt;=Price_Q3,"Medium Price","High Price"))</f>
        <v>Medium Price</v>
      </c>
      <c r="N66" t="str">
        <f>IF(OR(ISBLANK(tblproducts[[#This Row],[Ratings]])),"No Rating",IF(AND(tblproducts[[#This Row],[Calculated Discount]]&gt; High_dis,tblproducts[[#This Row],[Ratings]]&lt;3),"Yes","No"))</f>
        <v>No</v>
      </c>
      <c r="O66" t="str">
        <f>IF(OR(ISBLANK(tblproducts[[#This Row],[Review]])),"No Review",IF(AND(tblproducts[[#This Row],[Calculated Discount]] &gt;High_dis,tblproducts[[#This Row],[Review]]&lt; weak_engagem),"Yes","No"))</f>
        <v>No</v>
      </c>
      <c r="P66" t="str">
        <f>IF(OR(ISBLANK(tblproducts[[#This Row],[Review]])),"Not Provided",IF(AND(tblproducts[[#This Row],[Review]]&gt;=str_engagement,tblproducts[[#This Row],[Ratings]]&gt;=3,tblproducts[[#This Row],[Ratings]]&lt;4),"Yes","No"))</f>
        <v>No</v>
      </c>
      <c r="Q66" t="str">
        <f>IF(OR(ISBLANK(tblproducts[[#This Row],[Review]])),"Not Provided",IF(AND(tblproducts[[#This Row],[Review]]&gt;str_engagement,tblproducts[[#This Row],[Ratings]]&gt;=4),"Yes","No"))</f>
        <v>No</v>
      </c>
    </row>
    <row r="67" spans="1:17" hidden="1" x14ac:dyDescent="0.25">
      <c r="A67" t="s">
        <v>125</v>
      </c>
      <c r="B67" s="3">
        <f>AVERAGE(1620,1980)</f>
        <v>1800</v>
      </c>
      <c r="C67" s="3">
        <f>AVERAGE( 2200,3200)</f>
        <v>2700</v>
      </c>
      <c r="D67" s="1">
        <v>0.38</v>
      </c>
      <c r="E67" s="4">
        <f t="shared" si="14"/>
        <v>0.33333333333333331</v>
      </c>
      <c r="F67">
        <v>2</v>
      </c>
      <c r="G67" s="2">
        <v>4.5</v>
      </c>
      <c r="H67" t="str">
        <f t="shared" si="15"/>
        <v>Ok</v>
      </c>
      <c r="I67" t="str">
        <f t="shared" si="16"/>
        <v>Ok</v>
      </c>
      <c r="J67" t="str">
        <f t="shared" si="17"/>
        <v>Ok</v>
      </c>
      <c r="K67" t="str">
        <f t="shared" si="18"/>
        <v>Excellent</v>
      </c>
      <c r="L67" t="str">
        <f t="shared" si="19"/>
        <v>Medium Discount</v>
      </c>
      <c r="M67" t="str">
        <f t="shared" si="20"/>
        <v>High Price</v>
      </c>
      <c r="N67" t="str">
        <f>IF(OR(ISBLANK(tblproducts[[#This Row],[Ratings]])),"No Rating",IF(AND(tblproducts[[#This Row],[Calculated Discount]]&gt; High_dis,tblproducts[[#This Row],[Ratings]]&lt;3),"Yes","No"))</f>
        <v>No</v>
      </c>
      <c r="O67" t="str">
        <f>IF(OR(ISBLANK(tblproducts[[#This Row],[Review]])),"No Review",IF(AND(tblproducts[[#This Row],[Calculated Discount]] &gt;High_dis,tblproducts[[#This Row],[Review]]&lt; weak_engagem),"Yes","No"))</f>
        <v>No</v>
      </c>
      <c r="P67" t="str">
        <f>IF(OR(ISBLANK(tblproducts[[#This Row],[Review]])),"Not Provided",IF(AND(tblproducts[[#This Row],[Review]]&gt;=str_engagement,tblproducts[[#This Row],[Ratings]]&gt;=3,tblproducts[[#This Row],[Ratings]]&lt;4),"Yes","No"))</f>
        <v>No</v>
      </c>
      <c r="Q67" t="str">
        <f>IF(OR(ISBLANK(tblproducts[[#This Row],[Review]])),"Not Provided",IF(AND(tblproducts[[#This Row],[Review]]&gt;str_engagement,tblproducts[[#This Row],[Ratings]]&gt;=4),"Yes","No"))</f>
        <v>No</v>
      </c>
    </row>
    <row r="68" spans="1:17" hidden="1" x14ac:dyDescent="0.25">
      <c r="A68" t="s">
        <v>128</v>
      </c>
      <c r="B68" s="3">
        <v>2750</v>
      </c>
      <c r="C68" s="3">
        <v>4471</v>
      </c>
      <c r="D68" s="1">
        <v>0.38</v>
      </c>
      <c r="E68" s="4">
        <f t="shared" si="14"/>
        <v>0.38492507269067322</v>
      </c>
      <c r="H68" t="str">
        <f t="shared" si="15"/>
        <v>Check Rating</v>
      </c>
      <c r="I68" t="str">
        <f t="shared" si="16"/>
        <v>Ok</v>
      </c>
      <c r="J68" t="str">
        <f t="shared" si="17"/>
        <v>Ok</v>
      </c>
      <c r="K68" t="str">
        <f t="shared" si="18"/>
        <v>Missing</v>
      </c>
      <c r="L68" t="str">
        <f t="shared" si="19"/>
        <v>Medium Discount</v>
      </c>
      <c r="M68" t="str">
        <f t="shared" si="20"/>
        <v>High Price</v>
      </c>
      <c r="N68" t="str">
        <f>IF(OR(ISBLANK(tblproducts[[#This Row],[Ratings]])),"No Rating",IF(AND(tblproducts[[#This Row],[Calculated Discount]]&gt; High_dis,tblproducts[[#This Row],[Ratings]]&lt;3),"Yes","No"))</f>
        <v>No Rating</v>
      </c>
      <c r="O68" t="str">
        <f>IF(OR(ISBLANK(tblproducts[[#This Row],[Review]])),"No Review",IF(AND(tblproducts[[#This Row],[Calculated Discount]] &gt;High_dis,tblproducts[[#This Row],[Review]]&lt; weak_engagem),"Yes","No"))</f>
        <v>No Review</v>
      </c>
      <c r="P68" t="str">
        <f>IF(OR(ISBLANK(tblproducts[[#This Row],[Review]])),"Not Provided",IF(AND(tblproducts[[#This Row],[Review]]&gt;=str_engagement,tblproducts[[#This Row],[Ratings]]&gt;=3,tblproducts[[#This Row],[Ratings]]&lt;4),"Yes","No"))</f>
        <v>Not Provided</v>
      </c>
      <c r="Q68" t="str">
        <f>IF(OR(ISBLANK(tblproducts[[#This Row],[Review]])),"Not Provided",IF(AND(tblproducts[[#This Row],[Review]]&gt;str_engagement,tblproducts[[#This Row],[Ratings]]&gt;=4),"Yes","No"))</f>
        <v>Not Provided</v>
      </c>
    </row>
    <row r="69" spans="1:17" hidden="1" x14ac:dyDescent="0.25">
      <c r="A69" t="s">
        <v>151</v>
      </c>
      <c r="B69" s="3">
        <v>1200</v>
      </c>
      <c r="C69" s="3">
        <v>1950</v>
      </c>
      <c r="D69" s="1">
        <v>0.38</v>
      </c>
      <c r="E69" s="4">
        <f t="shared" si="14"/>
        <v>0.38461538461538464</v>
      </c>
      <c r="H69" t="str">
        <f t="shared" si="15"/>
        <v>Check Rating</v>
      </c>
      <c r="I69" t="str">
        <f t="shared" si="16"/>
        <v>Ok</v>
      </c>
      <c r="J69" t="str">
        <f t="shared" si="17"/>
        <v>Ok</v>
      </c>
      <c r="K69" t="str">
        <f t="shared" si="18"/>
        <v>Missing</v>
      </c>
      <c r="L69" t="str">
        <f t="shared" si="19"/>
        <v>Medium Discount</v>
      </c>
      <c r="M69" t="str">
        <f t="shared" si="20"/>
        <v>Medium Price</v>
      </c>
      <c r="N69" t="str">
        <f>IF(OR(ISBLANK(tblproducts[[#This Row],[Ratings]])),"No Rating",IF(AND(tblproducts[[#This Row],[Calculated Discount]]&gt; High_dis,tblproducts[[#This Row],[Ratings]]&lt;3),"Yes","No"))</f>
        <v>No Rating</v>
      </c>
      <c r="O69" t="str">
        <f>IF(OR(ISBLANK(tblproducts[[#This Row],[Review]])),"No Review",IF(AND(tblproducts[[#This Row],[Calculated Discount]] &gt;High_dis,tblproducts[[#This Row],[Review]]&lt; weak_engagem),"Yes","No"))</f>
        <v>No Review</v>
      </c>
      <c r="P69" t="str">
        <f>IF(OR(ISBLANK(tblproducts[[#This Row],[Review]])),"Not Provided",IF(AND(tblproducts[[#This Row],[Review]]&gt;=str_engagement,tblproducts[[#This Row],[Ratings]]&gt;=3,tblproducts[[#This Row],[Ratings]]&lt;4),"Yes","No"))</f>
        <v>Not Provided</v>
      </c>
      <c r="Q69" t="str">
        <f>IF(OR(ISBLANK(tblproducts[[#This Row],[Review]])),"Not Provided",IF(AND(tblproducts[[#This Row],[Review]]&gt;str_engagement,tblproducts[[#This Row],[Ratings]]&gt;=4),"Yes","No"))</f>
        <v>Not Provided</v>
      </c>
    </row>
    <row r="70" spans="1:17" hidden="1" x14ac:dyDescent="0.25">
      <c r="A70" t="s">
        <v>18</v>
      </c>
      <c r="B70" s="3">
        <v>1580</v>
      </c>
      <c r="C70" s="3">
        <v>2499</v>
      </c>
      <c r="D70" s="1">
        <v>0.37</v>
      </c>
      <c r="E70" s="4">
        <f t="shared" si="14"/>
        <v>0.36774709883953582</v>
      </c>
      <c r="F70">
        <v>7</v>
      </c>
      <c r="G70" s="2">
        <v>4.7</v>
      </c>
      <c r="H70" t="str">
        <f t="shared" si="15"/>
        <v>Ok</v>
      </c>
      <c r="I70" t="str">
        <f t="shared" si="16"/>
        <v>Ok</v>
      </c>
      <c r="J70" t="str">
        <f t="shared" si="17"/>
        <v>Ok</v>
      </c>
      <c r="K70" t="str">
        <f t="shared" si="18"/>
        <v>Excellent</v>
      </c>
      <c r="L70" t="str">
        <f t="shared" si="19"/>
        <v>Medium Discount</v>
      </c>
      <c r="M70" t="str">
        <f t="shared" si="20"/>
        <v>Medium Price</v>
      </c>
      <c r="N70" t="str">
        <f>IF(OR(ISBLANK(tblproducts[[#This Row],[Ratings]])),"No Rating",IF(AND(tblproducts[[#This Row],[Calculated Discount]]&gt; High_dis,tblproducts[[#This Row],[Ratings]]&lt;3),"Yes","No"))</f>
        <v>No</v>
      </c>
      <c r="O70" t="str">
        <f>IF(OR(ISBLANK(tblproducts[[#This Row],[Review]])),"No Review",IF(AND(tblproducts[[#This Row],[Calculated Discount]] &gt;High_dis,tblproducts[[#This Row],[Review]]&lt; weak_engagem),"Yes","No"))</f>
        <v>No</v>
      </c>
      <c r="P70" t="str">
        <f>IF(OR(ISBLANK(tblproducts[[#This Row],[Review]])),"Not Provided",IF(AND(tblproducts[[#This Row],[Review]]&gt;=str_engagement,tblproducts[[#This Row],[Ratings]]&gt;=3,tblproducts[[#This Row],[Ratings]]&lt;4),"Yes","No"))</f>
        <v>No</v>
      </c>
      <c r="Q70" t="str">
        <f>IF(OR(ISBLANK(tblproducts[[#This Row],[Review]])),"Not Provided",IF(AND(tblproducts[[#This Row],[Review]]&gt;str_engagement,tblproducts[[#This Row],[Ratings]]&gt;=4),"Yes","No"))</f>
        <v>No</v>
      </c>
    </row>
    <row r="71" spans="1:17" hidden="1" x14ac:dyDescent="0.25">
      <c r="A71" t="s">
        <v>33</v>
      </c>
      <c r="B71" s="3">
        <v>988</v>
      </c>
      <c r="C71" s="3">
        <v>1580</v>
      </c>
      <c r="D71" s="1">
        <v>0.37</v>
      </c>
      <c r="E71" s="4">
        <f t="shared" si="14"/>
        <v>0.37468354430379747</v>
      </c>
      <c r="F71">
        <v>2</v>
      </c>
      <c r="G71" s="2">
        <v>4</v>
      </c>
      <c r="H71" t="str">
        <f t="shared" si="15"/>
        <v>Ok</v>
      </c>
      <c r="I71" t="str">
        <f t="shared" si="16"/>
        <v>Ok</v>
      </c>
      <c r="J71" t="str">
        <f t="shared" si="17"/>
        <v>Ok</v>
      </c>
      <c r="K71" t="str">
        <f t="shared" si="18"/>
        <v>Excellent</v>
      </c>
      <c r="L71" t="str">
        <f t="shared" si="19"/>
        <v>Medium Discount</v>
      </c>
      <c r="M71" t="str">
        <f t="shared" si="20"/>
        <v>Medium Price</v>
      </c>
      <c r="N71" t="str">
        <f>IF(OR(ISBLANK(tblproducts[[#This Row],[Ratings]])),"No Rating",IF(AND(tblproducts[[#This Row],[Calculated Discount]]&gt; High_dis,tblproducts[[#This Row],[Ratings]]&lt;3),"Yes","No"))</f>
        <v>No</v>
      </c>
      <c r="O71" t="str">
        <f>IF(OR(ISBLANK(tblproducts[[#This Row],[Review]])),"No Review",IF(AND(tblproducts[[#This Row],[Calculated Discount]] &gt;High_dis,tblproducts[[#This Row],[Review]]&lt; weak_engagem),"Yes","No"))</f>
        <v>No</v>
      </c>
      <c r="P71" t="str">
        <f>IF(OR(ISBLANK(tblproducts[[#This Row],[Review]])),"Not Provided",IF(AND(tblproducts[[#This Row],[Review]]&gt;=str_engagement,tblproducts[[#This Row],[Ratings]]&gt;=3,tblproducts[[#This Row],[Ratings]]&lt;4),"Yes","No"))</f>
        <v>No</v>
      </c>
      <c r="Q71" t="str">
        <f>IF(OR(ISBLANK(tblproducts[[#This Row],[Review]])),"Not Provided",IF(AND(tblproducts[[#This Row],[Review]]&gt;str_engagement,tblproducts[[#This Row],[Ratings]]&gt;=4),"Yes","No"))</f>
        <v>No</v>
      </c>
    </row>
    <row r="72" spans="1:17" hidden="1" x14ac:dyDescent="0.25">
      <c r="A72" t="s">
        <v>248</v>
      </c>
      <c r="B72" s="3">
        <v>1460</v>
      </c>
      <c r="C72" s="3">
        <v>2290</v>
      </c>
      <c r="D72" s="1">
        <v>0.36</v>
      </c>
      <c r="E72" s="4">
        <f t="shared" si="14"/>
        <v>0.36244541484716158</v>
      </c>
      <c r="H72" t="str">
        <f t="shared" si="15"/>
        <v>Check Rating</v>
      </c>
      <c r="I72" t="str">
        <f t="shared" si="16"/>
        <v>Ok</v>
      </c>
      <c r="J72" t="str">
        <f t="shared" si="17"/>
        <v>Ok</v>
      </c>
      <c r="K72" t="str">
        <f t="shared" si="18"/>
        <v>Missing</v>
      </c>
      <c r="L72" t="str">
        <f t="shared" si="19"/>
        <v>Medium Discount</v>
      </c>
      <c r="M72" t="str">
        <f t="shared" si="20"/>
        <v>Medium Price</v>
      </c>
      <c r="N72" t="str">
        <f>IF(OR(ISBLANK(tblproducts[[#This Row],[Ratings]])),"No Rating",IF(AND(tblproducts[[#This Row],[Calculated Discount]]&gt; High_dis,tblproducts[[#This Row],[Ratings]]&lt;3),"Yes","No"))</f>
        <v>No Rating</v>
      </c>
      <c r="O72" t="str">
        <f>IF(OR(ISBLANK(tblproducts[[#This Row],[Review]])),"No Review",IF(AND(tblproducts[[#This Row],[Calculated Discount]] &gt;High_dis,tblproducts[[#This Row],[Review]]&lt; weak_engagem),"Yes","No"))</f>
        <v>No Review</v>
      </c>
      <c r="P72" t="str">
        <f>IF(OR(ISBLANK(tblproducts[[#This Row],[Review]])),"Not Provided",IF(AND(tblproducts[[#This Row],[Review]]&gt;=str_engagement,tblproducts[[#This Row],[Ratings]]&gt;=3,tblproducts[[#This Row],[Ratings]]&lt;4),"Yes","No"))</f>
        <v>Not Provided</v>
      </c>
      <c r="Q72" t="str">
        <f>IF(OR(ISBLANK(tblproducts[[#This Row],[Review]])),"Not Provided",IF(AND(tblproducts[[#This Row],[Review]]&gt;str_engagement,tblproducts[[#This Row],[Ratings]]&gt;=4),"Yes","No"))</f>
        <v>Not Provided</v>
      </c>
    </row>
    <row r="73" spans="1:17" hidden="1" x14ac:dyDescent="0.25">
      <c r="A73" t="s">
        <v>89</v>
      </c>
      <c r="B73" s="3">
        <v>420</v>
      </c>
      <c r="C73" s="3">
        <v>647</v>
      </c>
      <c r="D73" s="1">
        <v>0.35</v>
      </c>
      <c r="E73" s="4">
        <f t="shared" si="14"/>
        <v>0.3508500772797527</v>
      </c>
      <c r="F73">
        <v>49</v>
      </c>
      <c r="G73" s="2">
        <v>4.5999999999999996</v>
      </c>
      <c r="H73" t="str">
        <f t="shared" si="15"/>
        <v>Ok</v>
      </c>
      <c r="I73" t="str">
        <f t="shared" si="16"/>
        <v>Ok</v>
      </c>
      <c r="J73" t="str">
        <f t="shared" si="17"/>
        <v>Ok</v>
      </c>
      <c r="K73" t="str">
        <f t="shared" si="18"/>
        <v>Excellent</v>
      </c>
      <c r="L73" t="str">
        <f t="shared" si="19"/>
        <v>Medium Discount</v>
      </c>
      <c r="M73" t="str">
        <f t="shared" si="20"/>
        <v>Low Price</v>
      </c>
      <c r="N73" t="str">
        <f>IF(OR(ISBLANK(tblproducts[[#This Row],[Ratings]])),"No Rating",IF(AND(tblproducts[[#This Row],[Calculated Discount]]&gt; High_dis,tblproducts[[#This Row],[Ratings]]&lt;3),"Yes","No"))</f>
        <v>No</v>
      </c>
      <c r="O73" t="str">
        <f>IF(OR(ISBLANK(tblproducts[[#This Row],[Review]])),"No Review",IF(AND(tblproducts[[#This Row],[Calculated Discount]] &gt;High_dis,tblproducts[[#This Row],[Review]]&lt; weak_engagem),"Yes","No"))</f>
        <v>No</v>
      </c>
      <c r="P73" t="str">
        <f>IF(OR(ISBLANK(tblproducts[[#This Row],[Review]])),"Not Provided",IF(AND(tblproducts[[#This Row],[Review]]&gt;=str_engagement,tblproducts[[#This Row],[Ratings]]&gt;=3,tblproducts[[#This Row],[Ratings]]&lt;4),"Yes","No"))</f>
        <v>No</v>
      </c>
      <c r="Q73" t="str">
        <f>IF(OR(ISBLANK(tblproducts[[#This Row],[Review]])),"Not Provided",IF(AND(tblproducts[[#This Row],[Review]]&gt;str_engagement,tblproducts[[#This Row],[Ratings]]&gt;=4),"Yes","No"))</f>
        <v>Yes</v>
      </c>
    </row>
    <row r="74" spans="1:17" hidden="1" x14ac:dyDescent="0.25">
      <c r="A74" t="s">
        <v>78</v>
      </c>
      <c r="B74" s="3">
        <v>880</v>
      </c>
      <c r="C74" s="3">
        <v>1350</v>
      </c>
      <c r="D74" s="1">
        <v>0.35</v>
      </c>
      <c r="E74" s="4">
        <f t="shared" si="14"/>
        <v>0.34814814814814815</v>
      </c>
      <c r="F74">
        <v>6</v>
      </c>
      <c r="G74" s="2">
        <v>4</v>
      </c>
      <c r="H74" t="str">
        <f t="shared" si="15"/>
        <v>Ok</v>
      </c>
      <c r="I74" t="str">
        <f t="shared" si="16"/>
        <v>Ok</v>
      </c>
      <c r="J74" t="str">
        <f t="shared" si="17"/>
        <v>Ok</v>
      </c>
      <c r="K74" t="str">
        <f t="shared" si="18"/>
        <v>Excellent</v>
      </c>
      <c r="L74" t="str">
        <f t="shared" si="19"/>
        <v>Medium Discount</v>
      </c>
      <c r="M74" t="str">
        <f t="shared" si="20"/>
        <v>Medium Price</v>
      </c>
      <c r="N74" t="str">
        <f>IF(OR(ISBLANK(tblproducts[[#This Row],[Ratings]])),"No Rating",IF(AND(tblproducts[[#This Row],[Calculated Discount]]&gt; High_dis,tblproducts[[#This Row],[Ratings]]&lt;3),"Yes","No"))</f>
        <v>No</v>
      </c>
      <c r="O74" t="str">
        <f>IF(OR(ISBLANK(tblproducts[[#This Row],[Review]])),"No Review",IF(AND(tblproducts[[#This Row],[Calculated Discount]] &gt;High_dis,tblproducts[[#This Row],[Review]]&lt; weak_engagem),"Yes","No"))</f>
        <v>No</v>
      </c>
      <c r="P74" t="str">
        <f>IF(OR(ISBLANK(tblproducts[[#This Row],[Review]])),"Not Provided",IF(AND(tblproducts[[#This Row],[Review]]&gt;=str_engagement,tblproducts[[#This Row],[Ratings]]&gt;=3,tblproducts[[#This Row],[Ratings]]&lt;4),"Yes","No"))</f>
        <v>No</v>
      </c>
      <c r="Q74" t="str">
        <f>IF(OR(ISBLANK(tblproducts[[#This Row],[Review]])),"Not Provided",IF(AND(tblproducts[[#This Row],[Review]]&gt;str_engagement,tblproducts[[#This Row],[Ratings]]&gt;=4),"Yes","No"))</f>
        <v>No</v>
      </c>
    </row>
    <row r="75" spans="1:17" hidden="1" x14ac:dyDescent="0.25">
      <c r="A75" t="s">
        <v>44</v>
      </c>
      <c r="B75" s="3">
        <v>990</v>
      </c>
      <c r="C75" s="3">
        <v>1500</v>
      </c>
      <c r="D75" s="1">
        <v>0.34</v>
      </c>
      <c r="E75" s="4">
        <f t="shared" si="14"/>
        <v>0.34</v>
      </c>
      <c r="F75">
        <v>39</v>
      </c>
      <c r="G75" s="2">
        <v>4.7</v>
      </c>
      <c r="H75" t="str">
        <f t="shared" si="15"/>
        <v>Ok</v>
      </c>
      <c r="I75" t="str">
        <f t="shared" si="16"/>
        <v>Ok</v>
      </c>
      <c r="J75" t="str">
        <f t="shared" si="17"/>
        <v>Ok</v>
      </c>
      <c r="K75" t="str">
        <f t="shared" si="18"/>
        <v>Excellent</v>
      </c>
      <c r="L75" t="str">
        <f t="shared" si="19"/>
        <v>Medium Discount</v>
      </c>
      <c r="M75" t="str">
        <f t="shared" si="20"/>
        <v>Medium Price</v>
      </c>
      <c r="N75" t="str">
        <f>IF(OR(ISBLANK(tblproducts[[#This Row],[Ratings]])),"No Rating",IF(AND(tblproducts[[#This Row],[Calculated Discount]]&gt; High_dis,tblproducts[[#This Row],[Ratings]]&lt;3),"Yes","No"))</f>
        <v>No</v>
      </c>
      <c r="O75" t="str">
        <f>IF(OR(ISBLANK(tblproducts[[#This Row],[Review]])),"No Review",IF(AND(tblproducts[[#This Row],[Calculated Discount]] &gt;High_dis,tblproducts[[#This Row],[Review]]&lt; weak_engagem),"Yes","No"))</f>
        <v>No</v>
      </c>
      <c r="P75" t="str">
        <f>IF(OR(ISBLANK(tblproducts[[#This Row],[Review]])),"Not Provided",IF(AND(tblproducts[[#This Row],[Review]]&gt;=str_engagement,tblproducts[[#This Row],[Ratings]]&gt;=3,tblproducts[[#This Row],[Ratings]]&lt;4),"Yes","No"))</f>
        <v>No</v>
      </c>
      <c r="Q75" t="str">
        <f>IF(OR(ISBLANK(tblproducts[[#This Row],[Review]])),"Not Provided",IF(AND(tblproducts[[#This Row],[Review]]&gt;str_engagement,tblproducts[[#This Row],[Ratings]]&gt;=4),"Yes","No"))</f>
        <v>Yes</v>
      </c>
    </row>
    <row r="76" spans="1:17" hidden="1" x14ac:dyDescent="0.25">
      <c r="A76" t="s">
        <v>105</v>
      </c>
      <c r="B76" s="3">
        <v>980</v>
      </c>
      <c r="C76" s="3">
        <v>1490</v>
      </c>
      <c r="D76" s="1">
        <v>0.34</v>
      </c>
      <c r="E76" s="4">
        <f t="shared" si="14"/>
        <v>0.34228187919463088</v>
      </c>
      <c r="F76">
        <v>12</v>
      </c>
      <c r="G76" s="2">
        <v>4.7</v>
      </c>
      <c r="H76" t="str">
        <f t="shared" si="15"/>
        <v>Ok</v>
      </c>
      <c r="I76" t="str">
        <f t="shared" si="16"/>
        <v>Ok</v>
      </c>
      <c r="J76" t="str">
        <f t="shared" si="17"/>
        <v>Ok</v>
      </c>
      <c r="K76" t="str">
        <f t="shared" si="18"/>
        <v>Excellent</v>
      </c>
      <c r="L76" t="str">
        <f t="shared" si="19"/>
        <v>Medium Discount</v>
      </c>
      <c r="M76" t="str">
        <f t="shared" si="20"/>
        <v>Medium Price</v>
      </c>
      <c r="N76" t="str">
        <f>IF(OR(ISBLANK(tblproducts[[#This Row],[Ratings]])),"No Rating",IF(AND(tblproducts[[#This Row],[Calculated Discount]]&gt; High_dis,tblproducts[[#This Row],[Ratings]]&lt;3),"Yes","No"))</f>
        <v>No</v>
      </c>
      <c r="O76" t="str">
        <f>IF(OR(ISBLANK(tblproducts[[#This Row],[Review]])),"No Review",IF(AND(tblproducts[[#This Row],[Calculated Discount]] &gt;High_dis,tblproducts[[#This Row],[Review]]&lt; weak_engagem),"Yes","No"))</f>
        <v>No</v>
      </c>
      <c r="P76" t="str">
        <f>IF(OR(ISBLANK(tblproducts[[#This Row],[Review]])),"Not Provided",IF(AND(tblproducts[[#This Row],[Review]]&gt;=str_engagement,tblproducts[[#This Row],[Ratings]]&gt;=3,tblproducts[[#This Row],[Ratings]]&lt;4),"Yes","No"))</f>
        <v>No</v>
      </c>
      <c r="Q76" t="str">
        <f>IF(OR(ISBLANK(tblproducts[[#This Row],[Review]])),"Not Provided",IF(AND(tblproducts[[#This Row],[Review]]&gt;str_engagement,tblproducts[[#This Row],[Ratings]]&gt;=4),"Yes","No"))</f>
        <v>No</v>
      </c>
    </row>
    <row r="77" spans="1:17" hidden="1" x14ac:dyDescent="0.25">
      <c r="A77" t="s">
        <v>307</v>
      </c>
      <c r="B77" s="3">
        <v>1150</v>
      </c>
      <c r="C77" s="3">
        <v>1737</v>
      </c>
      <c r="D77" s="1">
        <v>0.34</v>
      </c>
      <c r="E77" s="4">
        <f t="shared" si="14"/>
        <v>0.3379389752446747</v>
      </c>
      <c r="H77" t="str">
        <f t="shared" si="15"/>
        <v>Check Rating</v>
      </c>
      <c r="I77" t="str">
        <f t="shared" si="16"/>
        <v>Ok</v>
      </c>
      <c r="J77" t="str">
        <f t="shared" si="17"/>
        <v>Ok</v>
      </c>
      <c r="K77" t="str">
        <f t="shared" si="18"/>
        <v>Missing</v>
      </c>
      <c r="L77" t="str">
        <f t="shared" si="19"/>
        <v>Medium Discount</v>
      </c>
      <c r="M77" t="str">
        <f t="shared" si="20"/>
        <v>Medium Price</v>
      </c>
      <c r="N77" t="str">
        <f>IF(OR(ISBLANK(tblproducts[[#This Row],[Ratings]])),"No Rating",IF(AND(tblproducts[[#This Row],[Calculated Discount]]&gt; High_dis,tblproducts[[#This Row],[Ratings]]&lt;3),"Yes","No"))</f>
        <v>No Rating</v>
      </c>
      <c r="O77" t="str">
        <f>IF(OR(ISBLANK(tblproducts[[#This Row],[Review]])),"No Review",IF(AND(tblproducts[[#This Row],[Calculated Discount]] &gt;High_dis,tblproducts[[#This Row],[Review]]&lt; weak_engagem),"Yes","No"))</f>
        <v>No Review</v>
      </c>
      <c r="P77" t="str">
        <f>IF(OR(ISBLANK(tblproducts[[#This Row],[Review]])),"Not Provided",IF(AND(tblproducts[[#This Row],[Review]]&gt;=str_engagement,tblproducts[[#This Row],[Ratings]]&gt;=3,tblproducts[[#This Row],[Ratings]]&lt;4),"Yes","No"))</f>
        <v>Not Provided</v>
      </c>
      <c r="Q77" t="str">
        <f>IF(OR(ISBLANK(tblproducts[[#This Row],[Review]])),"Not Provided",IF(AND(tblproducts[[#This Row],[Review]]&gt;str_engagement,tblproducts[[#This Row],[Ratings]]&gt;=4),"Yes","No"))</f>
        <v>Not Provided</v>
      </c>
    </row>
    <row r="78" spans="1:17" hidden="1" x14ac:dyDescent="0.25">
      <c r="A78" t="s">
        <v>310</v>
      </c>
      <c r="B78" s="3">
        <v>1190</v>
      </c>
      <c r="C78" s="3">
        <v>1810</v>
      </c>
      <c r="D78" s="1">
        <v>0.34</v>
      </c>
      <c r="E78" s="4">
        <f t="shared" si="14"/>
        <v>0.34254143646408841</v>
      </c>
      <c r="H78" t="str">
        <f t="shared" si="15"/>
        <v>Check Rating</v>
      </c>
      <c r="I78" t="str">
        <f t="shared" si="16"/>
        <v>Ok</v>
      </c>
      <c r="J78" t="str">
        <f t="shared" si="17"/>
        <v>Ok</v>
      </c>
      <c r="K78" t="str">
        <f t="shared" si="18"/>
        <v>Missing</v>
      </c>
      <c r="L78" t="str">
        <f t="shared" si="19"/>
        <v>Medium Discount</v>
      </c>
      <c r="M78" t="str">
        <f t="shared" si="20"/>
        <v>Medium Price</v>
      </c>
      <c r="N78" t="str">
        <f>IF(OR(ISBLANK(tblproducts[[#This Row],[Ratings]])),"No Rating",IF(AND(tblproducts[[#This Row],[Calculated Discount]]&gt; High_dis,tblproducts[[#This Row],[Ratings]]&lt;3),"Yes","No"))</f>
        <v>No Rating</v>
      </c>
      <c r="O78" t="str">
        <f>IF(OR(ISBLANK(tblproducts[[#This Row],[Review]])),"No Review",IF(AND(tblproducts[[#This Row],[Calculated Discount]] &gt;High_dis,tblproducts[[#This Row],[Review]]&lt; weak_engagem),"Yes","No"))</f>
        <v>No Review</v>
      </c>
      <c r="P78" t="str">
        <f>IF(OR(ISBLANK(tblproducts[[#This Row],[Review]])),"Not Provided",IF(AND(tblproducts[[#This Row],[Review]]&gt;=str_engagement,tblproducts[[#This Row],[Ratings]]&gt;=3,tblproducts[[#This Row],[Ratings]]&lt;4),"Yes","No"))</f>
        <v>Not Provided</v>
      </c>
      <c r="Q78" t="str">
        <f>IF(OR(ISBLANK(tblproducts[[#This Row],[Review]])),"Not Provided",IF(AND(tblproducts[[#This Row],[Review]]&gt;str_engagement,tblproducts[[#This Row],[Ratings]]&gt;=4),"Yes","No"))</f>
        <v>Not Provided</v>
      </c>
    </row>
    <row r="79" spans="1:17" hidden="1" x14ac:dyDescent="0.25">
      <c r="A79" t="s">
        <v>53</v>
      </c>
      <c r="B79" s="3">
        <v>1680</v>
      </c>
      <c r="C79" s="3">
        <v>2499</v>
      </c>
      <c r="D79" s="1">
        <v>0.33</v>
      </c>
      <c r="E79" s="4">
        <f t="shared" si="14"/>
        <v>0.32773109243697479</v>
      </c>
      <c r="F79">
        <v>9</v>
      </c>
      <c r="G79" s="2">
        <v>4.2</v>
      </c>
      <c r="H79" t="str">
        <f t="shared" si="15"/>
        <v>Ok</v>
      </c>
      <c r="I79" t="str">
        <f t="shared" si="16"/>
        <v>Ok</v>
      </c>
      <c r="J79" t="str">
        <f t="shared" si="17"/>
        <v>Ok</v>
      </c>
      <c r="K79" t="str">
        <f t="shared" si="18"/>
        <v>Excellent</v>
      </c>
      <c r="L79" t="str">
        <f t="shared" si="19"/>
        <v>Medium Discount</v>
      </c>
      <c r="M79" t="str">
        <f t="shared" si="20"/>
        <v>High Price</v>
      </c>
      <c r="N79" t="str">
        <f>IF(OR(ISBLANK(tblproducts[[#This Row],[Ratings]])),"No Rating",IF(AND(tblproducts[[#This Row],[Calculated Discount]]&gt; High_dis,tblproducts[[#This Row],[Ratings]]&lt;3),"Yes","No"))</f>
        <v>No</v>
      </c>
      <c r="O79" t="str">
        <f>IF(OR(ISBLANK(tblproducts[[#This Row],[Review]])),"No Review",IF(AND(tblproducts[[#This Row],[Calculated Discount]] &gt;High_dis,tblproducts[[#This Row],[Review]]&lt; weak_engagem),"Yes","No"))</f>
        <v>No</v>
      </c>
      <c r="P79" t="str">
        <f>IF(OR(ISBLANK(tblproducts[[#This Row],[Review]])),"Not Provided",IF(AND(tblproducts[[#This Row],[Review]]&gt;=str_engagement,tblproducts[[#This Row],[Ratings]]&gt;=3,tblproducts[[#This Row],[Ratings]]&lt;4),"Yes","No"))</f>
        <v>No</v>
      </c>
      <c r="Q79" t="str">
        <f>IF(OR(ISBLANK(tblproducts[[#This Row],[Review]])),"Not Provided",IF(AND(tblproducts[[#This Row],[Review]]&gt;str_engagement,tblproducts[[#This Row],[Ratings]]&gt;=4),"Yes","No"))</f>
        <v>No</v>
      </c>
    </row>
    <row r="80" spans="1:17" hidden="1" x14ac:dyDescent="0.25">
      <c r="A80" t="s">
        <v>145</v>
      </c>
      <c r="B80" s="3">
        <v>1190</v>
      </c>
      <c r="C80" s="3">
        <v>1785</v>
      </c>
      <c r="D80" s="1">
        <v>0.33</v>
      </c>
      <c r="E80" s="4">
        <f t="shared" si="14"/>
        <v>0.33333333333333331</v>
      </c>
      <c r="H80" t="str">
        <f t="shared" si="15"/>
        <v>Check Rating</v>
      </c>
      <c r="I80" t="str">
        <f t="shared" si="16"/>
        <v>Ok</v>
      </c>
      <c r="J80" t="str">
        <f t="shared" si="17"/>
        <v>Ok</v>
      </c>
      <c r="K80" t="str">
        <f t="shared" si="18"/>
        <v>Missing</v>
      </c>
      <c r="L80" t="str">
        <f t="shared" si="19"/>
        <v>Medium Discount</v>
      </c>
      <c r="M80" t="str">
        <f t="shared" si="20"/>
        <v>Medium Price</v>
      </c>
      <c r="N80" t="str">
        <f>IF(OR(ISBLANK(tblproducts[[#This Row],[Ratings]])),"No Rating",IF(AND(tblproducts[[#This Row],[Calculated Discount]]&gt; High_dis,tblproducts[[#This Row],[Ratings]]&lt;3),"Yes","No"))</f>
        <v>No Rating</v>
      </c>
      <c r="O80" t="str">
        <f>IF(OR(ISBLANK(tblproducts[[#This Row],[Review]])),"No Review",IF(AND(tblproducts[[#This Row],[Calculated Discount]] &gt;High_dis,tblproducts[[#This Row],[Review]]&lt; weak_engagem),"Yes","No"))</f>
        <v>No Review</v>
      </c>
      <c r="P80" t="str">
        <f>IF(OR(ISBLANK(tblproducts[[#This Row],[Review]])),"Not Provided",IF(AND(tblproducts[[#This Row],[Review]]&gt;=str_engagement,tblproducts[[#This Row],[Ratings]]&gt;=3,tblproducts[[#This Row],[Ratings]]&lt;4),"Yes","No"))</f>
        <v>Not Provided</v>
      </c>
      <c r="Q80" t="str">
        <f>IF(OR(ISBLANK(tblproducts[[#This Row],[Review]])),"Not Provided",IF(AND(tblproducts[[#This Row],[Review]]&gt;str_engagement,tblproducts[[#This Row],[Ratings]]&gt;=4),"Yes","No"))</f>
        <v>Not Provided</v>
      </c>
    </row>
    <row r="81" spans="1:17" hidden="1" x14ac:dyDescent="0.25">
      <c r="A81" t="s">
        <v>95</v>
      </c>
      <c r="B81" s="3">
        <v>1350</v>
      </c>
      <c r="C81" s="3">
        <v>1990</v>
      </c>
      <c r="D81" s="1">
        <v>0.32</v>
      </c>
      <c r="E81" s="4">
        <f t="shared" si="14"/>
        <v>0.32160804020100503</v>
      </c>
      <c r="F81">
        <v>13</v>
      </c>
      <c r="G81" s="2">
        <v>3.8</v>
      </c>
      <c r="H81" t="str">
        <f t="shared" si="15"/>
        <v>Ok</v>
      </c>
      <c r="I81" t="str">
        <f t="shared" si="16"/>
        <v>Ok</v>
      </c>
      <c r="J81" t="str">
        <f t="shared" si="17"/>
        <v>Ok</v>
      </c>
      <c r="K81" t="str">
        <f t="shared" si="18"/>
        <v>Average</v>
      </c>
      <c r="L81" t="str">
        <f t="shared" si="19"/>
        <v>Medium Discount</v>
      </c>
      <c r="M81" t="str">
        <f t="shared" si="20"/>
        <v>Medium Price</v>
      </c>
      <c r="N81" t="str">
        <f>IF(OR(ISBLANK(tblproducts[[#This Row],[Ratings]])),"No Rating",IF(AND(tblproducts[[#This Row],[Calculated Discount]]&gt; High_dis,tblproducts[[#This Row],[Ratings]]&lt;3),"Yes","No"))</f>
        <v>No</v>
      </c>
      <c r="O81" t="str">
        <f>IF(OR(ISBLANK(tblproducts[[#This Row],[Review]])),"No Review",IF(AND(tblproducts[[#This Row],[Calculated Discount]] &gt;High_dis,tblproducts[[#This Row],[Review]]&lt; weak_engagem),"Yes","No"))</f>
        <v>No</v>
      </c>
      <c r="P81" t="str">
        <f>IF(OR(ISBLANK(tblproducts[[#This Row],[Review]])),"Not Provided",IF(AND(tblproducts[[#This Row],[Review]]&gt;=str_engagement,tblproducts[[#This Row],[Ratings]]&gt;=3,tblproducts[[#This Row],[Ratings]]&lt;4),"Yes","No"))</f>
        <v>No</v>
      </c>
      <c r="Q81" t="str">
        <f>IF(OR(ISBLANK(tblproducts[[#This Row],[Review]])),"Not Provided",IF(AND(tblproducts[[#This Row],[Review]]&gt;str_engagement,tblproducts[[#This Row],[Ratings]]&gt;=4),"Yes","No"))</f>
        <v>No</v>
      </c>
    </row>
    <row r="82" spans="1:17" hidden="1" x14ac:dyDescent="0.25">
      <c r="A82" t="s">
        <v>97</v>
      </c>
      <c r="B82" s="3">
        <v>1758</v>
      </c>
      <c r="C82" s="3">
        <v>2499</v>
      </c>
      <c r="D82" s="1">
        <v>0.3</v>
      </c>
      <c r="E82" s="4">
        <f t="shared" si="14"/>
        <v>0.2965186074429772</v>
      </c>
      <c r="F82">
        <v>20</v>
      </c>
      <c r="G82" s="2">
        <v>4.0999999999999996</v>
      </c>
      <c r="H82" t="str">
        <f t="shared" si="15"/>
        <v>Ok</v>
      </c>
      <c r="I82" t="str">
        <f t="shared" si="16"/>
        <v>Ok</v>
      </c>
      <c r="J82" t="str">
        <f t="shared" si="17"/>
        <v>Ok</v>
      </c>
      <c r="K82" t="str">
        <f t="shared" si="18"/>
        <v>Excellent</v>
      </c>
      <c r="L82" t="str">
        <f t="shared" si="19"/>
        <v>Medium Discount</v>
      </c>
      <c r="M82" t="str">
        <f t="shared" si="20"/>
        <v>High Price</v>
      </c>
      <c r="N82" t="str">
        <f>IF(OR(ISBLANK(tblproducts[[#This Row],[Ratings]])),"No Rating",IF(AND(tblproducts[[#This Row],[Calculated Discount]]&gt; High_dis,tblproducts[[#This Row],[Ratings]]&lt;3),"Yes","No"))</f>
        <v>No</v>
      </c>
      <c r="O82" t="str">
        <f>IF(OR(ISBLANK(tblproducts[[#This Row],[Review]])),"No Review",IF(AND(tblproducts[[#This Row],[Calculated Discount]] &gt;High_dis,tblproducts[[#This Row],[Review]]&lt; weak_engagem),"Yes","No"))</f>
        <v>No</v>
      </c>
      <c r="P82" t="str">
        <f>IF(OR(ISBLANK(tblproducts[[#This Row],[Review]])),"Not Provided",IF(AND(tblproducts[[#This Row],[Review]]&gt;=str_engagement,tblproducts[[#This Row],[Ratings]]&gt;=3,tblproducts[[#This Row],[Ratings]]&lt;4),"Yes","No"))</f>
        <v>No</v>
      </c>
      <c r="Q82" t="str">
        <f>IF(OR(ISBLANK(tblproducts[[#This Row],[Review]])),"Not Provided",IF(AND(tblproducts[[#This Row],[Review]]&gt;str_engagement,tblproducts[[#This Row],[Ratings]]&gt;=4),"Yes","No"))</f>
        <v>Yes</v>
      </c>
    </row>
    <row r="83" spans="1:17" hidden="1" x14ac:dyDescent="0.25">
      <c r="A83" t="s">
        <v>218</v>
      </c>
      <c r="B83" s="3">
        <v>2300</v>
      </c>
      <c r="C83" s="3">
        <v>3240</v>
      </c>
      <c r="D83" s="1">
        <v>0.28999999999999998</v>
      </c>
      <c r="E83" s="4">
        <f t="shared" si="14"/>
        <v>0.29012345679012347</v>
      </c>
      <c r="F83">
        <v>5</v>
      </c>
      <c r="G83" s="2">
        <v>3</v>
      </c>
      <c r="H83" t="str">
        <f t="shared" si="15"/>
        <v>Ok</v>
      </c>
      <c r="I83" t="str">
        <f t="shared" si="16"/>
        <v>Ok</v>
      </c>
      <c r="J83" t="str">
        <f t="shared" si="17"/>
        <v>Ok</v>
      </c>
      <c r="K83" t="str">
        <f t="shared" si="18"/>
        <v>Average</v>
      </c>
      <c r="L83" t="str">
        <f t="shared" si="19"/>
        <v>Medium Discount</v>
      </c>
      <c r="M83" t="str">
        <f t="shared" si="20"/>
        <v>High Price</v>
      </c>
      <c r="N83" t="str">
        <f>IF(OR(ISBLANK(tblproducts[[#This Row],[Ratings]])),"No Rating",IF(AND(tblproducts[[#This Row],[Calculated Discount]]&gt; High_dis,tblproducts[[#This Row],[Ratings]]&lt;3),"Yes","No"))</f>
        <v>No</v>
      </c>
      <c r="O83" t="str">
        <f>IF(OR(ISBLANK(tblproducts[[#This Row],[Review]])),"No Review",IF(AND(tblproducts[[#This Row],[Calculated Discount]] &gt;High_dis,tblproducts[[#This Row],[Review]]&lt; weak_engagem),"Yes","No"))</f>
        <v>No</v>
      </c>
      <c r="P83" t="str">
        <f>IF(OR(ISBLANK(tblproducts[[#This Row],[Review]])),"Not Provided",IF(AND(tblproducts[[#This Row],[Review]]&gt;=str_engagement,tblproducts[[#This Row],[Ratings]]&gt;=3,tblproducts[[#This Row],[Ratings]]&lt;4),"Yes","No"))</f>
        <v>No</v>
      </c>
      <c r="Q83" t="str">
        <f>IF(OR(ISBLANK(tblproducts[[#This Row],[Review]])),"Not Provided",IF(AND(tblproducts[[#This Row],[Review]]&gt;str_engagement,tblproducts[[#This Row],[Ratings]]&gt;=4),"Yes","No"))</f>
        <v>No</v>
      </c>
    </row>
    <row r="84" spans="1:17" hidden="1" x14ac:dyDescent="0.25">
      <c r="A84" t="s">
        <v>114</v>
      </c>
      <c r="B84" s="3">
        <v>1980</v>
      </c>
      <c r="C84" s="3">
        <v>2699</v>
      </c>
      <c r="D84" s="1">
        <v>0.27</v>
      </c>
      <c r="E84" s="4">
        <f t="shared" si="14"/>
        <v>0.26639496109670247</v>
      </c>
      <c r="F84">
        <v>32</v>
      </c>
      <c r="G84" s="2">
        <v>4.5</v>
      </c>
      <c r="H84" t="str">
        <f t="shared" si="15"/>
        <v>Ok</v>
      </c>
      <c r="I84" t="str">
        <f t="shared" si="16"/>
        <v>Ok</v>
      </c>
      <c r="J84" t="str">
        <f t="shared" si="17"/>
        <v>Ok</v>
      </c>
      <c r="K84" t="str">
        <f t="shared" si="18"/>
        <v>Excellent</v>
      </c>
      <c r="L84" t="str">
        <f t="shared" si="19"/>
        <v>Medium Discount</v>
      </c>
      <c r="M84" t="str">
        <f t="shared" si="20"/>
        <v>High Price</v>
      </c>
      <c r="N84" t="str">
        <f>IF(OR(ISBLANK(tblproducts[[#This Row],[Ratings]])),"No Rating",IF(AND(tblproducts[[#This Row],[Calculated Discount]]&gt; High_dis,tblproducts[[#This Row],[Ratings]]&lt;3),"Yes","No"))</f>
        <v>No</v>
      </c>
      <c r="O84" t="str">
        <f>IF(OR(ISBLANK(tblproducts[[#This Row],[Review]])),"No Review",IF(AND(tblproducts[[#This Row],[Calculated Discount]] &gt;High_dis,tblproducts[[#This Row],[Review]]&lt; weak_engagem),"Yes","No"))</f>
        <v>No</v>
      </c>
      <c r="P84" t="str">
        <f>IF(OR(ISBLANK(tblproducts[[#This Row],[Review]])),"Not Provided",IF(AND(tblproducts[[#This Row],[Review]]&gt;=str_engagement,tblproducts[[#This Row],[Ratings]]&gt;=3,tblproducts[[#This Row],[Ratings]]&lt;4),"Yes","No"))</f>
        <v>No</v>
      </c>
      <c r="Q84" t="str">
        <f>IF(OR(ISBLANK(tblproducts[[#This Row],[Review]])),"Not Provided",IF(AND(tblproducts[[#This Row],[Review]]&gt;str_engagement,tblproducts[[#This Row],[Ratings]]&gt;=4),"Yes","No"))</f>
        <v>Yes</v>
      </c>
    </row>
    <row r="85" spans="1:17" hidden="1" x14ac:dyDescent="0.25">
      <c r="A85" t="s">
        <v>111</v>
      </c>
      <c r="B85" s="3">
        <v>1940</v>
      </c>
      <c r="C85" s="3">
        <v>2650</v>
      </c>
      <c r="D85" s="1">
        <v>0.27</v>
      </c>
      <c r="E85" s="4">
        <f t="shared" si="14"/>
        <v>0.26792452830188679</v>
      </c>
      <c r="F85">
        <v>20</v>
      </c>
      <c r="G85" s="2">
        <v>4.7</v>
      </c>
      <c r="H85" t="str">
        <f t="shared" si="15"/>
        <v>Ok</v>
      </c>
      <c r="I85" t="str">
        <f t="shared" si="16"/>
        <v>Ok</v>
      </c>
      <c r="J85" t="str">
        <f t="shared" si="17"/>
        <v>Ok</v>
      </c>
      <c r="K85" t="str">
        <f t="shared" si="18"/>
        <v>Excellent</v>
      </c>
      <c r="L85" t="str">
        <f t="shared" si="19"/>
        <v>Medium Discount</v>
      </c>
      <c r="M85" t="str">
        <f t="shared" si="20"/>
        <v>High Price</v>
      </c>
      <c r="N85" t="str">
        <f>IF(OR(ISBLANK(tblproducts[[#This Row],[Ratings]])),"No Rating",IF(AND(tblproducts[[#This Row],[Calculated Discount]]&gt; High_dis,tblproducts[[#This Row],[Ratings]]&lt;3),"Yes","No"))</f>
        <v>No</v>
      </c>
      <c r="O85" t="str">
        <f>IF(OR(ISBLANK(tblproducts[[#This Row],[Review]])),"No Review",IF(AND(tblproducts[[#This Row],[Calculated Discount]] &gt;High_dis,tblproducts[[#This Row],[Review]]&lt; weak_engagem),"Yes","No"))</f>
        <v>No</v>
      </c>
      <c r="P85" t="str">
        <f>IF(OR(ISBLANK(tblproducts[[#This Row],[Review]])),"Not Provided",IF(AND(tblproducts[[#This Row],[Review]]&gt;=str_engagement,tblproducts[[#This Row],[Ratings]]&gt;=3,tblproducts[[#This Row],[Ratings]]&lt;4),"Yes","No"))</f>
        <v>No</v>
      </c>
      <c r="Q85" t="str">
        <f>IF(OR(ISBLANK(tblproducts[[#This Row],[Review]])),"Not Provided",IF(AND(tblproducts[[#This Row],[Review]]&gt;str_engagement,tblproducts[[#This Row],[Ratings]]&gt;=4),"Yes","No"))</f>
        <v>Yes</v>
      </c>
    </row>
    <row r="86" spans="1:17" hidden="1" x14ac:dyDescent="0.25">
      <c r="A86" t="s">
        <v>177</v>
      </c>
      <c r="B86" s="3">
        <v>2799</v>
      </c>
      <c r="C86" s="3">
        <v>3810</v>
      </c>
      <c r="D86" s="1">
        <v>0.27</v>
      </c>
      <c r="E86" s="4">
        <f t="shared" si="14"/>
        <v>0.26535433070866143</v>
      </c>
      <c r="H86" t="str">
        <f t="shared" si="15"/>
        <v>Check Rating</v>
      </c>
      <c r="I86" t="str">
        <f t="shared" si="16"/>
        <v>Ok</v>
      </c>
      <c r="J86" t="str">
        <f t="shared" si="17"/>
        <v>Ok</v>
      </c>
      <c r="K86" t="str">
        <f t="shared" si="18"/>
        <v>Missing</v>
      </c>
      <c r="L86" t="str">
        <f t="shared" si="19"/>
        <v>Medium Discount</v>
      </c>
      <c r="M86" t="str">
        <f t="shared" si="20"/>
        <v>High Price</v>
      </c>
      <c r="N86" t="str">
        <f>IF(OR(ISBLANK(tblproducts[[#This Row],[Ratings]])),"No Rating",IF(AND(tblproducts[[#This Row],[Calculated Discount]]&gt; High_dis,tblproducts[[#This Row],[Ratings]]&lt;3),"Yes","No"))</f>
        <v>No Rating</v>
      </c>
      <c r="O86" t="str">
        <f>IF(OR(ISBLANK(tblproducts[[#This Row],[Review]])),"No Review",IF(AND(tblproducts[[#This Row],[Calculated Discount]] &gt;High_dis,tblproducts[[#This Row],[Review]]&lt; weak_engagem),"Yes","No"))</f>
        <v>No Review</v>
      </c>
      <c r="P86" t="str">
        <f>IF(OR(ISBLANK(tblproducts[[#This Row],[Review]])),"Not Provided",IF(AND(tblproducts[[#This Row],[Review]]&gt;=str_engagement,tblproducts[[#This Row],[Ratings]]&gt;=3,tblproducts[[#This Row],[Ratings]]&lt;4),"Yes","No"))</f>
        <v>Not Provided</v>
      </c>
      <c r="Q86" t="str">
        <f>IF(OR(ISBLANK(tblproducts[[#This Row],[Review]])),"Not Provided",IF(AND(tblproducts[[#This Row],[Review]]&gt;str_engagement,tblproducts[[#This Row],[Ratings]]&gt;=4),"Yes","No"))</f>
        <v>Not Provided</v>
      </c>
    </row>
    <row r="87" spans="1:17" hidden="1" x14ac:dyDescent="0.25">
      <c r="A87" t="s">
        <v>22</v>
      </c>
      <c r="B87" s="3">
        <v>1740</v>
      </c>
      <c r="C87" s="3">
        <v>2356</v>
      </c>
      <c r="D87" s="1">
        <v>0.26</v>
      </c>
      <c r="E87" s="4">
        <f t="shared" si="14"/>
        <v>0.26146010186757218</v>
      </c>
      <c r="F87">
        <v>5</v>
      </c>
      <c r="G87" s="2">
        <v>4.8</v>
      </c>
      <c r="H87" t="str">
        <f t="shared" si="15"/>
        <v>Ok</v>
      </c>
      <c r="I87" t="str">
        <f t="shared" si="16"/>
        <v>Ok</v>
      </c>
      <c r="J87" t="str">
        <f t="shared" si="17"/>
        <v>Ok</v>
      </c>
      <c r="K87" t="str">
        <f t="shared" si="18"/>
        <v>Excellent</v>
      </c>
      <c r="L87" t="str">
        <f t="shared" si="19"/>
        <v>Medium Discount</v>
      </c>
      <c r="M87" t="str">
        <f t="shared" si="20"/>
        <v>High Price</v>
      </c>
      <c r="N87" t="str">
        <f>IF(OR(ISBLANK(tblproducts[[#This Row],[Ratings]])),"No Rating",IF(AND(tblproducts[[#This Row],[Calculated Discount]]&gt; High_dis,tblproducts[[#This Row],[Ratings]]&lt;3),"Yes","No"))</f>
        <v>No</v>
      </c>
      <c r="O87" t="str">
        <f>IF(OR(ISBLANK(tblproducts[[#This Row],[Review]])),"No Review",IF(AND(tblproducts[[#This Row],[Calculated Discount]] &gt;High_dis,tblproducts[[#This Row],[Review]]&lt; weak_engagem),"Yes","No"))</f>
        <v>No</v>
      </c>
      <c r="P87" t="str">
        <f>IF(OR(ISBLANK(tblproducts[[#This Row],[Review]])),"Not Provided",IF(AND(tblproducts[[#This Row],[Review]]&gt;=str_engagement,tblproducts[[#This Row],[Ratings]]&gt;=3,tblproducts[[#This Row],[Ratings]]&lt;4),"Yes","No"))</f>
        <v>No</v>
      </c>
      <c r="Q87" t="str">
        <f>IF(OR(ISBLANK(tblproducts[[#This Row],[Review]])),"Not Provided",IF(AND(tblproducts[[#This Row],[Review]]&gt;str_engagement,tblproducts[[#This Row],[Ratings]]&gt;=4),"Yes","No"))</f>
        <v>No</v>
      </c>
    </row>
    <row r="88" spans="1:17" hidden="1" x14ac:dyDescent="0.25">
      <c r="A88" t="s">
        <v>14</v>
      </c>
      <c r="B88" s="3">
        <v>2199</v>
      </c>
      <c r="C88" s="3">
        <v>2923</v>
      </c>
      <c r="D88" s="1">
        <v>0.25</v>
      </c>
      <c r="E88" s="4">
        <f t="shared" si="14"/>
        <v>0.24769072870338693</v>
      </c>
      <c r="F88">
        <v>24</v>
      </c>
      <c r="G88" s="2">
        <v>4.5999999999999996</v>
      </c>
      <c r="H88" t="str">
        <f t="shared" si="15"/>
        <v>Ok</v>
      </c>
      <c r="I88" t="str">
        <f t="shared" si="16"/>
        <v>Ok</v>
      </c>
      <c r="J88" t="str">
        <f t="shared" si="17"/>
        <v>Ok</v>
      </c>
      <c r="K88" t="str">
        <f t="shared" si="18"/>
        <v>Excellent</v>
      </c>
      <c r="L88" t="str">
        <f t="shared" si="19"/>
        <v>Medium Discount</v>
      </c>
      <c r="M88" t="str">
        <f t="shared" si="20"/>
        <v>High Price</v>
      </c>
      <c r="N88" t="str">
        <f>IF(OR(ISBLANK(tblproducts[[#This Row],[Ratings]])),"No Rating",IF(AND(tblproducts[[#This Row],[Calculated Discount]]&gt; High_dis,tblproducts[[#This Row],[Ratings]]&lt;3),"Yes","No"))</f>
        <v>No</v>
      </c>
      <c r="O88" t="str">
        <f>IF(OR(ISBLANK(tblproducts[[#This Row],[Review]])),"No Review",IF(AND(tblproducts[[#This Row],[Calculated Discount]] &gt;High_dis,tblproducts[[#This Row],[Review]]&lt; weak_engagem),"Yes","No"))</f>
        <v>No</v>
      </c>
      <c r="P88" t="str">
        <f>IF(OR(ISBLANK(tblproducts[[#This Row],[Review]])),"Not Provided",IF(AND(tblproducts[[#This Row],[Review]]&gt;=str_engagement,tblproducts[[#This Row],[Ratings]]&gt;=3,tblproducts[[#This Row],[Ratings]]&lt;4),"Yes","No"))</f>
        <v>No</v>
      </c>
      <c r="Q88" t="str">
        <f>IF(OR(ISBLANK(tblproducts[[#This Row],[Review]])),"Not Provided",IF(AND(tblproducts[[#This Row],[Review]]&gt;str_engagement,tblproducts[[#This Row],[Ratings]]&gt;=4),"Yes","No"))</f>
        <v>Yes</v>
      </c>
    </row>
    <row r="89" spans="1:17" hidden="1" x14ac:dyDescent="0.25">
      <c r="A89" t="s">
        <v>30</v>
      </c>
      <c r="B89" s="3">
        <v>2319</v>
      </c>
      <c r="C89" s="3">
        <v>3032</v>
      </c>
      <c r="D89" s="1">
        <v>0.24</v>
      </c>
      <c r="E89" s="4">
        <f t="shared" si="14"/>
        <v>0.23515831134564644</v>
      </c>
      <c r="F89">
        <v>55</v>
      </c>
      <c r="G89" s="2">
        <v>4.5999999999999996</v>
      </c>
      <c r="H89" t="str">
        <f t="shared" si="15"/>
        <v>Ok</v>
      </c>
      <c r="I89" t="str">
        <f t="shared" si="16"/>
        <v>Ok</v>
      </c>
      <c r="J89" t="str">
        <f t="shared" si="17"/>
        <v>Ok</v>
      </c>
      <c r="K89" t="str">
        <f t="shared" si="18"/>
        <v>Excellent</v>
      </c>
      <c r="L89" t="str">
        <f t="shared" si="19"/>
        <v>Medium Discount</v>
      </c>
      <c r="M89" t="str">
        <f t="shared" si="20"/>
        <v>High Price</v>
      </c>
      <c r="N89" t="str">
        <f>IF(OR(ISBLANK(tblproducts[[#This Row],[Ratings]])),"No Rating",IF(AND(tblproducts[[#This Row],[Calculated Discount]]&gt; High_dis,tblproducts[[#This Row],[Ratings]]&lt;3),"Yes","No"))</f>
        <v>No</v>
      </c>
      <c r="O89" t="str">
        <f>IF(OR(ISBLANK(tblproducts[[#This Row],[Review]])),"No Review",IF(AND(tblproducts[[#This Row],[Calculated Discount]] &gt;High_dis,tblproducts[[#This Row],[Review]]&lt; weak_engagem),"Yes","No"))</f>
        <v>No</v>
      </c>
      <c r="P89" t="str">
        <f>IF(OR(ISBLANK(tblproducts[[#This Row],[Review]])),"Not Provided",IF(AND(tblproducts[[#This Row],[Review]]&gt;=str_engagement,tblproducts[[#This Row],[Ratings]]&gt;=3,tblproducts[[#This Row],[Ratings]]&lt;4),"Yes","No"))</f>
        <v>No</v>
      </c>
      <c r="Q89" t="str">
        <f>IF(OR(ISBLANK(tblproducts[[#This Row],[Review]])),"Not Provided",IF(AND(tblproducts[[#This Row],[Review]]&gt;str_engagement,tblproducts[[#This Row],[Ratings]]&gt;=4),"Yes","No"))</f>
        <v>Yes</v>
      </c>
    </row>
    <row r="90" spans="1:17" hidden="1" x14ac:dyDescent="0.25">
      <c r="A90" t="s">
        <v>304</v>
      </c>
      <c r="B90" s="3">
        <v>198</v>
      </c>
      <c r="C90" s="3">
        <v>260</v>
      </c>
      <c r="D90" s="1">
        <v>0.24</v>
      </c>
      <c r="E90" s="4">
        <f t="shared" si="14"/>
        <v>0.23846153846153847</v>
      </c>
      <c r="H90" t="str">
        <f t="shared" si="15"/>
        <v>Check Rating</v>
      </c>
      <c r="I90" t="str">
        <f t="shared" si="16"/>
        <v>Ok</v>
      </c>
      <c r="J90" t="str">
        <f t="shared" si="17"/>
        <v>Ok</v>
      </c>
      <c r="K90" t="str">
        <f t="shared" si="18"/>
        <v>Missing</v>
      </c>
      <c r="L90" t="str">
        <f t="shared" si="19"/>
        <v>Medium Discount</v>
      </c>
      <c r="M90" t="str">
        <f t="shared" si="20"/>
        <v>Low Price</v>
      </c>
      <c r="N90" t="str">
        <f>IF(OR(ISBLANK(tblproducts[[#This Row],[Ratings]])),"No Rating",IF(AND(tblproducts[[#This Row],[Calculated Discount]]&gt; High_dis,tblproducts[[#This Row],[Ratings]]&lt;3),"Yes","No"))</f>
        <v>No Rating</v>
      </c>
      <c r="O90" t="str">
        <f>IF(OR(ISBLANK(tblproducts[[#This Row],[Review]])),"No Review",IF(AND(tblproducts[[#This Row],[Calculated Discount]] &gt;High_dis,tblproducts[[#This Row],[Review]]&lt; weak_engagem),"Yes","No"))</f>
        <v>No Review</v>
      </c>
      <c r="P90" t="str">
        <f>IF(OR(ISBLANK(tblproducts[[#This Row],[Review]])),"Not Provided",IF(AND(tblproducts[[#This Row],[Review]]&gt;=str_engagement,tblproducts[[#This Row],[Ratings]]&gt;=3,tblproducts[[#This Row],[Ratings]]&lt;4),"Yes","No"))</f>
        <v>Not Provided</v>
      </c>
      <c r="Q90" t="str">
        <f>IF(OR(ISBLANK(tblproducts[[#This Row],[Review]])),"Not Provided",IF(AND(tblproducts[[#This Row],[Review]]&gt;str_engagement,tblproducts[[#This Row],[Ratings]]&gt;=4),"Yes","No"))</f>
        <v>Not Provided</v>
      </c>
    </row>
    <row r="91" spans="1:17" hidden="1" x14ac:dyDescent="0.25">
      <c r="A91" t="s">
        <v>81</v>
      </c>
      <c r="B91" s="3">
        <v>1650</v>
      </c>
      <c r="C91" s="3">
        <v>2150</v>
      </c>
      <c r="D91" s="1">
        <v>0.23</v>
      </c>
      <c r="E91" s="4">
        <f t="shared" si="14"/>
        <v>0.23255813953488372</v>
      </c>
      <c r="F91">
        <v>14</v>
      </c>
      <c r="G91" s="2">
        <v>4.4000000000000004</v>
      </c>
      <c r="H91" t="str">
        <f t="shared" si="15"/>
        <v>Ok</v>
      </c>
      <c r="I91" t="str">
        <f t="shared" si="16"/>
        <v>Ok</v>
      </c>
      <c r="J91" t="str">
        <f t="shared" si="17"/>
        <v>Ok</v>
      </c>
      <c r="K91" t="str">
        <f t="shared" si="18"/>
        <v>Excellent</v>
      </c>
      <c r="L91" t="str">
        <f t="shared" si="19"/>
        <v>Medium Discount</v>
      </c>
      <c r="M91" t="str">
        <f t="shared" si="20"/>
        <v>Medium Price</v>
      </c>
      <c r="N91" t="str">
        <f>IF(OR(ISBLANK(tblproducts[[#This Row],[Ratings]])),"No Rating",IF(AND(tblproducts[[#This Row],[Calculated Discount]]&gt; High_dis,tblproducts[[#This Row],[Ratings]]&lt;3),"Yes","No"))</f>
        <v>No</v>
      </c>
      <c r="O91" t="str">
        <f>IF(OR(ISBLANK(tblproducts[[#This Row],[Review]])),"No Review",IF(AND(tblproducts[[#This Row],[Calculated Discount]] &gt;High_dis,tblproducts[[#This Row],[Review]]&lt; weak_engagem),"Yes","No"))</f>
        <v>No</v>
      </c>
      <c r="P91" t="str">
        <f>IF(OR(ISBLANK(tblproducts[[#This Row],[Review]])),"Not Provided",IF(AND(tblproducts[[#This Row],[Review]]&gt;=str_engagement,tblproducts[[#This Row],[Ratings]]&gt;=3,tblproducts[[#This Row],[Ratings]]&lt;4),"Yes","No"))</f>
        <v>No</v>
      </c>
      <c r="Q91" t="str">
        <f>IF(OR(ISBLANK(tblproducts[[#This Row],[Review]])),"Not Provided",IF(AND(tblproducts[[#This Row],[Review]]&gt;str_engagement,tblproducts[[#This Row],[Ratings]]&gt;=4),"Yes","No"))</f>
        <v>No</v>
      </c>
    </row>
    <row r="92" spans="1:17" hidden="1" x14ac:dyDescent="0.25">
      <c r="A92" t="s">
        <v>202</v>
      </c>
      <c r="B92" s="3">
        <v>1220</v>
      </c>
      <c r="C92" s="3">
        <v>1555</v>
      </c>
      <c r="D92" s="1">
        <v>0.22</v>
      </c>
      <c r="E92" s="4">
        <f t="shared" si="14"/>
        <v>0.21543408360128619</v>
      </c>
      <c r="F92">
        <v>16</v>
      </c>
      <c r="G92" s="2">
        <v>2.9</v>
      </c>
      <c r="H92" t="str">
        <f t="shared" si="15"/>
        <v>Ok</v>
      </c>
      <c r="I92" t="str">
        <f t="shared" si="16"/>
        <v>Ok</v>
      </c>
      <c r="J92" t="str">
        <f t="shared" si="17"/>
        <v>Ok</v>
      </c>
      <c r="K92" t="str">
        <f t="shared" si="18"/>
        <v>Poor</v>
      </c>
      <c r="L92" t="str">
        <f t="shared" si="19"/>
        <v>Medium Discount</v>
      </c>
      <c r="M92" t="str">
        <f t="shared" si="20"/>
        <v>Medium Price</v>
      </c>
      <c r="N92" t="str">
        <f>IF(OR(ISBLANK(tblproducts[[#This Row],[Ratings]])),"No Rating",IF(AND(tblproducts[[#This Row],[Calculated Discount]]&gt; High_dis,tblproducts[[#This Row],[Ratings]]&lt;3),"Yes","No"))</f>
        <v>No</v>
      </c>
      <c r="O92" t="str">
        <f>IF(OR(ISBLANK(tblproducts[[#This Row],[Review]])),"No Review",IF(AND(tblproducts[[#This Row],[Calculated Discount]] &gt;High_dis,tblproducts[[#This Row],[Review]]&lt; weak_engagem),"Yes","No"))</f>
        <v>No</v>
      </c>
      <c r="P92" t="str">
        <f>IF(OR(ISBLANK(tblproducts[[#This Row],[Review]])),"Not Provided",IF(AND(tblproducts[[#This Row],[Review]]&gt;=str_engagement,tblproducts[[#This Row],[Ratings]]&gt;=3,tblproducts[[#This Row],[Ratings]]&lt;4),"Yes","No"))</f>
        <v>No</v>
      </c>
      <c r="Q92" t="str">
        <f>IF(OR(ISBLANK(tblproducts[[#This Row],[Review]])),"Not Provided",IF(AND(tblproducts[[#This Row],[Review]]&gt;str_engagement,tblproducts[[#This Row],[Ratings]]&gt;=4),"Yes","No"))</f>
        <v>No</v>
      </c>
    </row>
    <row r="93" spans="1:17" hidden="1" x14ac:dyDescent="0.25">
      <c r="A93" t="s">
        <v>163</v>
      </c>
      <c r="B93" s="3">
        <v>299</v>
      </c>
      <c r="C93" s="3">
        <v>384</v>
      </c>
      <c r="D93" s="1">
        <v>0.22</v>
      </c>
      <c r="E93" s="4">
        <f t="shared" si="14"/>
        <v>0.22135416666666666</v>
      </c>
      <c r="H93" t="str">
        <f t="shared" si="15"/>
        <v>Check Rating</v>
      </c>
      <c r="I93" t="str">
        <f t="shared" si="16"/>
        <v>Ok</v>
      </c>
      <c r="J93" t="str">
        <f t="shared" si="17"/>
        <v>Ok</v>
      </c>
      <c r="K93" t="str">
        <f t="shared" si="18"/>
        <v>Missing</v>
      </c>
      <c r="L93" t="str">
        <f t="shared" si="19"/>
        <v>Medium Discount</v>
      </c>
      <c r="M93" t="str">
        <f t="shared" si="20"/>
        <v>Low Price</v>
      </c>
      <c r="N93" t="str">
        <f>IF(OR(ISBLANK(tblproducts[[#This Row],[Ratings]])),"No Rating",IF(AND(tblproducts[[#This Row],[Calculated Discount]]&gt; High_dis,tblproducts[[#This Row],[Ratings]]&lt;3),"Yes","No"))</f>
        <v>No Rating</v>
      </c>
      <c r="O93" t="str">
        <f>IF(OR(ISBLANK(tblproducts[[#This Row],[Review]])),"No Review",IF(AND(tblproducts[[#This Row],[Calculated Discount]] &gt;High_dis,tblproducts[[#This Row],[Review]]&lt; weak_engagem),"Yes","No"))</f>
        <v>No Review</v>
      </c>
      <c r="P93" t="str">
        <f>IF(OR(ISBLANK(tblproducts[[#This Row],[Review]])),"Not Provided",IF(AND(tblproducts[[#This Row],[Review]]&gt;=str_engagement,tblproducts[[#This Row],[Ratings]]&gt;=3,tblproducts[[#This Row],[Ratings]]&lt;4),"Yes","No"))</f>
        <v>Not Provided</v>
      </c>
      <c r="Q93" t="str">
        <f>IF(OR(ISBLANK(tblproducts[[#This Row],[Review]])),"Not Provided",IF(AND(tblproducts[[#This Row],[Review]]&gt;str_engagement,tblproducts[[#This Row],[Ratings]]&gt;=4),"Yes","No"))</f>
        <v>Not Provided</v>
      </c>
    </row>
    <row r="94" spans="1:17" hidden="1" x14ac:dyDescent="0.25">
      <c r="A94" t="s">
        <v>295</v>
      </c>
      <c r="B94" s="3">
        <v>3640</v>
      </c>
      <c r="C94" s="3">
        <v>4588</v>
      </c>
      <c r="D94" s="1">
        <v>0.21</v>
      </c>
      <c r="E94" s="4">
        <f t="shared" si="14"/>
        <v>0.20662598081952921</v>
      </c>
      <c r="F94">
        <v>1</v>
      </c>
      <c r="G94" s="2">
        <v>5</v>
      </c>
      <c r="H94" t="str">
        <f t="shared" si="15"/>
        <v>Ok</v>
      </c>
      <c r="I94" t="str">
        <f t="shared" si="16"/>
        <v>Ok</v>
      </c>
      <c r="J94" t="str">
        <f t="shared" si="17"/>
        <v>Ok</v>
      </c>
      <c r="K94" t="str">
        <f t="shared" si="18"/>
        <v>Excellent</v>
      </c>
      <c r="L94" t="str">
        <f t="shared" si="19"/>
        <v>Medium Discount</v>
      </c>
      <c r="M94" t="str">
        <f t="shared" si="20"/>
        <v>High Price</v>
      </c>
      <c r="N94" t="str">
        <f>IF(OR(ISBLANK(tblproducts[[#This Row],[Ratings]])),"No Rating",IF(AND(tblproducts[[#This Row],[Calculated Discount]]&gt; High_dis,tblproducts[[#This Row],[Ratings]]&lt;3),"Yes","No"))</f>
        <v>No</v>
      </c>
      <c r="O94" t="str">
        <f>IF(OR(ISBLANK(tblproducts[[#This Row],[Review]])),"No Review",IF(AND(tblproducts[[#This Row],[Calculated Discount]] &gt;High_dis,tblproducts[[#This Row],[Review]]&lt; weak_engagem),"Yes","No"))</f>
        <v>No</v>
      </c>
      <c r="P94" t="str">
        <f>IF(OR(ISBLANK(tblproducts[[#This Row],[Review]])),"Not Provided",IF(AND(tblproducts[[#This Row],[Review]]&gt;=str_engagement,tblproducts[[#This Row],[Ratings]]&gt;=3,tblproducts[[#This Row],[Ratings]]&lt;4),"Yes","No"))</f>
        <v>No</v>
      </c>
      <c r="Q94" t="str">
        <f>IF(OR(ISBLANK(tblproducts[[#This Row],[Review]])),"Not Provided",IF(AND(tblproducts[[#This Row],[Review]]&gt;str_engagement,tblproducts[[#This Row],[Ratings]]&gt;=4),"Yes","No"))</f>
        <v>No</v>
      </c>
    </row>
    <row r="95" spans="1:17" hidden="1" x14ac:dyDescent="0.25">
      <c r="A95" t="s">
        <v>42</v>
      </c>
      <c r="B95" s="3">
        <v>799</v>
      </c>
      <c r="C95" s="3">
        <v>999</v>
      </c>
      <c r="D95" s="1">
        <v>0.2</v>
      </c>
      <c r="E95" s="4">
        <f t="shared" si="14"/>
        <v>0.20020020020020021</v>
      </c>
      <c r="F95">
        <v>12</v>
      </c>
      <c r="G95" s="2">
        <v>4.0999999999999996</v>
      </c>
      <c r="H95" t="str">
        <f t="shared" si="15"/>
        <v>Ok</v>
      </c>
      <c r="I95" t="str">
        <f t="shared" si="16"/>
        <v>Ok</v>
      </c>
      <c r="J95" t="str">
        <f t="shared" si="17"/>
        <v>Ok</v>
      </c>
      <c r="K95" t="str">
        <f t="shared" si="18"/>
        <v>Excellent</v>
      </c>
      <c r="L95" t="str">
        <f t="shared" si="19"/>
        <v>Medium Discount</v>
      </c>
      <c r="M95" t="str">
        <f t="shared" si="20"/>
        <v>Medium Price</v>
      </c>
      <c r="N95" t="str">
        <f>IF(OR(ISBLANK(tblproducts[[#This Row],[Ratings]])),"No Rating",IF(AND(tblproducts[[#This Row],[Calculated Discount]]&gt; High_dis,tblproducts[[#This Row],[Ratings]]&lt;3),"Yes","No"))</f>
        <v>No</v>
      </c>
      <c r="O95" t="str">
        <f>IF(OR(ISBLANK(tblproducts[[#This Row],[Review]])),"No Review",IF(AND(tblproducts[[#This Row],[Calculated Discount]] &gt;High_dis,tblproducts[[#This Row],[Review]]&lt; weak_engagem),"Yes","No"))</f>
        <v>No</v>
      </c>
      <c r="P95" t="str">
        <f>IF(OR(ISBLANK(tblproducts[[#This Row],[Review]])),"Not Provided",IF(AND(tblproducts[[#This Row],[Review]]&gt;=str_engagement,tblproducts[[#This Row],[Ratings]]&gt;=3,tblproducts[[#This Row],[Ratings]]&lt;4),"Yes","No"))</f>
        <v>No</v>
      </c>
      <c r="Q95" t="str">
        <f>IF(OR(ISBLANK(tblproducts[[#This Row],[Review]])),"Not Provided",IF(AND(tblproducts[[#This Row],[Review]]&gt;str_engagement,tblproducts[[#This Row],[Ratings]]&gt;=4),"Yes","No"))</f>
        <v>No</v>
      </c>
    </row>
    <row r="96" spans="1:17" hidden="1" x14ac:dyDescent="0.25">
      <c r="A96" t="s">
        <v>66</v>
      </c>
      <c r="B96" s="3">
        <v>2999</v>
      </c>
      <c r="C96" s="3">
        <v>3699</v>
      </c>
      <c r="D96" s="1">
        <v>0.19</v>
      </c>
      <c r="E96" s="4">
        <f t="shared" si="14"/>
        <v>0.18924033522573669</v>
      </c>
      <c r="F96">
        <v>5</v>
      </c>
      <c r="G96" s="2">
        <v>4.5999999999999996</v>
      </c>
      <c r="H96" t="str">
        <f t="shared" si="15"/>
        <v>Ok</v>
      </c>
      <c r="I96" t="str">
        <f t="shared" si="16"/>
        <v>Ok</v>
      </c>
      <c r="J96" t="str">
        <f t="shared" si="17"/>
        <v>Ok</v>
      </c>
      <c r="K96" t="str">
        <f t="shared" si="18"/>
        <v>Excellent</v>
      </c>
      <c r="L96" t="str">
        <f t="shared" si="19"/>
        <v>Low Discount</v>
      </c>
      <c r="M96" t="str">
        <f t="shared" si="20"/>
        <v>High Price</v>
      </c>
      <c r="N96" t="str">
        <f>IF(OR(ISBLANK(tblproducts[[#This Row],[Ratings]])),"No Rating",IF(AND(tblproducts[[#This Row],[Calculated Discount]]&gt; High_dis,tblproducts[[#This Row],[Ratings]]&lt;3),"Yes","No"))</f>
        <v>No</v>
      </c>
      <c r="O96" t="str">
        <f>IF(OR(ISBLANK(tblproducts[[#This Row],[Review]])),"No Review",IF(AND(tblproducts[[#This Row],[Calculated Discount]] &gt;High_dis,tblproducts[[#This Row],[Review]]&lt; weak_engagem),"Yes","No"))</f>
        <v>No</v>
      </c>
      <c r="P96" t="str">
        <f>IF(OR(ISBLANK(tblproducts[[#This Row],[Review]])),"Not Provided",IF(AND(tblproducts[[#This Row],[Review]]&gt;=str_engagement,tblproducts[[#This Row],[Ratings]]&gt;=3,tblproducts[[#This Row],[Ratings]]&lt;4),"Yes","No"))</f>
        <v>No</v>
      </c>
      <c r="Q96" t="str">
        <f>IF(OR(ISBLANK(tblproducts[[#This Row],[Review]])),"Not Provided",IF(AND(tblproducts[[#This Row],[Review]]&gt;str_engagement,tblproducts[[#This Row],[Ratings]]&gt;=4),"Yes","No"))</f>
        <v>No</v>
      </c>
    </row>
    <row r="97" spans="1:17" hidden="1" x14ac:dyDescent="0.25">
      <c r="A97" t="s">
        <v>92</v>
      </c>
      <c r="B97" s="3">
        <v>2880</v>
      </c>
      <c r="C97" s="3">
        <v>3520</v>
      </c>
      <c r="D97" s="1">
        <v>0.18</v>
      </c>
      <c r="E97" s="4">
        <f t="shared" si="14"/>
        <v>0.18181818181818182</v>
      </c>
      <c r="F97">
        <v>12</v>
      </c>
      <c r="G97" s="2">
        <v>3.8</v>
      </c>
      <c r="H97" t="str">
        <f t="shared" si="15"/>
        <v>Ok</v>
      </c>
      <c r="I97" t="str">
        <f t="shared" si="16"/>
        <v>Ok</v>
      </c>
      <c r="J97" t="str">
        <f t="shared" si="17"/>
        <v>Ok</v>
      </c>
      <c r="K97" t="str">
        <f t="shared" si="18"/>
        <v>Average</v>
      </c>
      <c r="L97" t="str">
        <f t="shared" si="19"/>
        <v>Low Discount</v>
      </c>
      <c r="M97" t="str">
        <f t="shared" si="20"/>
        <v>High Price</v>
      </c>
      <c r="N97" t="str">
        <f>IF(OR(ISBLANK(tblproducts[[#This Row],[Ratings]])),"No Rating",IF(AND(tblproducts[[#This Row],[Calculated Discount]]&gt; High_dis,tblproducts[[#This Row],[Ratings]]&lt;3),"Yes","No"))</f>
        <v>No</v>
      </c>
      <c r="O97" t="str">
        <f>IF(OR(ISBLANK(tblproducts[[#This Row],[Review]])),"No Review",IF(AND(tblproducts[[#This Row],[Calculated Discount]] &gt;High_dis,tblproducts[[#This Row],[Review]]&lt; weak_engagem),"Yes","No"))</f>
        <v>No</v>
      </c>
      <c r="P97" t="str">
        <f>IF(OR(ISBLANK(tblproducts[[#This Row],[Review]])),"Not Provided",IF(AND(tblproducts[[#This Row],[Review]]&gt;=str_engagement,tblproducts[[#This Row],[Ratings]]&gt;=3,tblproducts[[#This Row],[Ratings]]&lt;4),"Yes","No"))</f>
        <v>No</v>
      </c>
      <c r="Q97" t="str">
        <f>IF(OR(ISBLANK(tblproducts[[#This Row],[Review]])),"Not Provided",IF(AND(tblproducts[[#This Row],[Review]]&gt;str_engagement,tblproducts[[#This Row],[Ratings]]&gt;=4),"Yes","No"))</f>
        <v>No</v>
      </c>
    </row>
    <row r="98" spans="1:17" hidden="1" x14ac:dyDescent="0.25">
      <c r="A98" t="s">
        <v>256</v>
      </c>
      <c r="B98" s="3">
        <v>1466</v>
      </c>
      <c r="C98" s="3">
        <v>1699</v>
      </c>
      <c r="D98" s="1">
        <v>0.14000000000000001</v>
      </c>
      <c r="E98" s="4">
        <f t="shared" ref="E98:E113" si="21">(C98-B98)/C98</f>
        <v>0.13713949381989404</v>
      </c>
      <c r="H98" t="str">
        <f t="shared" ref="H98:H113" si="22">IF(OR(G98&lt;0,G98&gt;5,ISBLANK(G98)),"Check Rating","Ok")</f>
        <v>Check Rating</v>
      </c>
      <c r="I98" t="str">
        <f t="shared" ref="I98:I113" si="23">IF(OR(E98&lt;0,E98&gt;100),"Discount ","Ok")</f>
        <v>Ok</v>
      </c>
      <c r="J98" t="str">
        <f t="shared" ref="J98:J113" si="24">IF(OR(B98&gt;C98),"Check Prices","Ok")</f>
        <v>Ok</v>
      </c>
      <c r="K98" t="str">
        <f t="shared" ref="K98:K113" si="25">IF(ISBLANK(G98),"Missing",IF(G98&lt;3,"Poor",IF(G98&lt;4,"Average","Excellent")))</f>
        <v>Missing</v>
      </c>
      <c r="L98" t="str">
        <f t="shared" ref="L98:L113" si="26">IF(E98&lt;20%,"Low Discount",IF(E98&lt;40%,"Medium Discount","High Discount"))</f>
        <v>Low Discount</v>
      </c>
      <c r="M98" t="str">
        <f t="shared" ref="M98:M113" si="27">IF(B98&lt;Price_Q1,"Low Price",IF(B98&lt;=Price_Q3,"Medium Price","High Price"))</f>
        <v>Medium Price</v>
      </c>
      <c r="N98" t="str">
        <f>IF(OR(ISBLANK(tblproducts[[#This Row],[Ratings]])),"No Rating",IF(AND(tblproducts[[#This Row],[Calculated Discount]]&gt; High_dis,tblproducts[[#This Row],[Ratings]]&lt;3),"Yes","No"))</f>
        <v>No Rating</v>
      </c>
      <c r="O98" t="str">
        <f>IF(OR(ISBLANK(tblproducts[[#This Row],[Review]])),"No Review",IF(AND(tblproducts[[#This Row],[Calculated Discount]] &gt;High_dis,tblproducts[[#This Row],[Review]]&lt; weak_engagem),"Yes","No"))</f>
        <v>No Review</v>
      </c>
      <c r="P98" t="str">
        <f>IF(OR(ISBLANK(tblproducts[[#This Row],[Review]])),"Not Provided",IF(AND(tblproducts[[#This Row],[Review]]&gt;=str_engagement,tblproducts[[#This Row],[Ratings]]&gt;=3,tblproducts[[#This Row],[Ratings]]&lt;4),"Yes","No"))</f>
        <v>Not Provided</v>
      </c>
      <c r="Q98" t="str">
        <f>IF(OR(ISBLANK(tblproducts[[#This Row],[Review]])),"Not Provided",IF(AND(tblproducts[[#This Row],[Review]]&gt;str_engagement,tblproducts[[#This Row],[Ratings]]&gt;=4),"Yes","No"))</f>
        <v>Not Provided</v>
      </c>
    </row>
    <row r="99" spans="1:17" hidden="1" x14ac:dyDescent="0.25">
      <c r="A99" t="s">
        <v>264</v>
      </c>
      <c r="B99" s="3">
        <v>1468</v>
      </c>
      <c r="C99" s="3">
        <v>1699</v>
      </c>
      <c r="D99" s="1">
        <v>0.14000000000000001</v>
      </c>
      <c r="E99" s="4">
        <f t="shared" si="21"/>
        <v>0.13596233078281342</v>
      </c>
      <c r="H99" t="str">
        <f t="shared" si="22"/>
        <v>Check Rating</v>
      </c>
      <c r="I99" t="str">
        <f t="shared" si="23"/>
        <v>Ok</v>
      </c>
      <c r="J99" t="str">
        <f t="shared" si="24"/>
        <v>Ok</v>
      </c>
      <c r="K99" t="str">
        <f t="shared" si="25"/>
        <v>Missing</v>
      </c>
      <c r="L99" t="str">
        <f t="shared" si="26"/>
        <v>Low Discount</v>
      </c>
      <c r="M99" t="str">
        <f t="shared" si="27"/>
        <v>Medium Price</v>
      </c>
      <c r="N99" t="str">
        <f>IF(OR(ISBLANK(tblproducts[[#This Row],[Ratings]])),"No Rating",IF(AND(tblproducts[[#This Row],[Calculated Discount]]&gt; High_dis,tblproducts[[#This Row],[Ratings]]&lt;3),"Yes","No"))</f>
        <v>No Rating</v>
      </c>
      <c r="O99" t="str">
        <f>IF(OR(ISBLANK(tblproducts[[#This Row],[Review]])),"No Review",IF(AND(tblproducts[[#This Row],[Calculated Discount]] &gt;High_dis,tblproducts[[#This Row],[Review]]&lt; weak_engagem),"Yes","No"))</f>
        <v>No Review</v>
      </c>
      <c r="P99" t="str">
        <f>IF(OR(ISBLANK(tblproducts[[#This Row],[Review]])),"Not Provided",IF(AND(tblproducts[[#This Row],[Review]]&gt;=str_engagement,tblproducts[[#This Row],[Ratings]]&gt;=3,tblproducts[[#This Row],[Ratings]]&lt;4),"Yes","No"))</f>
        <v>Not Provided</v>
      </c>
      <c r="Q99" t="str">
        <f>IF(OR(ISBLANK(tblproducts[[#This Row],[Review]])),"Not Provided",IF(AND(tblproducts[[#This Row],[Review]]&gt;str_engagement,tblproducts[[#This Row],[Ratings]]&gt;=4),"Yes","No"))</f>
        <v>Not Provided</v>
      </c>
    </row>
    <row r="100" spans="1:17" hidden="1" x14ac:dyDescent="0.25">
      <c r="A100" t="s">
        <v>182</v>
      </c>
      <c r="B100" s="3">
        <v>2170</v>
      </c>
      <c r="C100" s="3">
        <v>2500</v>
      </c>
      <c r="D100" s="1">
        <v>0.13</v>
      </c>
      <c r="E100" s="4">
        <f t="shared" si="21"/>
        <v>0.13200000000000001</v>
      </c>
      <c r="F100">
        <v>6</v>
      </c>
      <c r="G100" s="2">
        <v>2.5</v>
      </c>
      <c r="H100" t="str">
        <f t="shared" si="22"/>
        <v>Ok</v>
      </c>
      <c r="I100" t="str">
        <f t="shared" si="23"/>
        <v>Ok</v>
      </c>
      <c r="J100" t="str">
        <f t="shared" si="24"/>
        <v>Ok</v>
      </c>
      <c r="K100" t="str">
        <f t="shared" si="25"/>
        <v>Poor</v>
      </c>
      <c r="L100" t="str">
        <f t="shared" si="26"/>
        <v>Low Discount</v>
      </c>
      <c r="M100" t="str">
        <f t="shared" si="27"/>
        <v>High Price</v>
      </c>
      <c r="N100" t="str">
        <f>IF(OR(ISBLANK(tblproducts[[#This Row],[Ratings]])),"No Rating",IF(AND(tblproducts[[#This Row],[Calculated Discount]]&gt; High_dis,tblproducts[[#This Row],[Ratings]]&lt;3),"Yes","No"))</f>
        <v>No</v>
      </c>
      <c r="O100" t="str">
        <f>IF(OR(ISBLANK(tblproducts[[#This Row],[Review]])),"No Review",IF(AND(tblproducts[[#This Row],[Calculated Discount]] &gt;High_dis,tblproducts[[#This Row],[Review]]&lt; weak_engagem),"Yes","No"))</f>
        <v>No</v>
      </c>
      <c r="P100" t="str">
        <f>IF(OR(ISBLANK(tblproducts[[#This Row],[Review]])),"Not Provided",IF(AND(tblproducts[[#This Row],[Review]]&gt;=str_engagement,tblproducts[[#This Row],[Ratings]]&gt;=3,tblproducts[[#This Row],[Ratings]]&lt;4),"Yes","No"))</f>
        <v>No</v>
      </c>
      <c r="Q100" t="str">
        <f>IF(OR(ISBLANK(tblproducts[[#This Row],[Review]])),"Not Provided",IF(AND(tblproducts[[#This Row],[Review]]&gt;str_engagement,tblproducts[[#This Row],[Ratings]]&gt;=4),"Yes","No"))</f>
        <v>No</v>
      </c>
    </row>
    <row r="101" spans="1:17" hidden="1" x14ac:dyDescent="0.25">
      <c r="A101" t="s">
        <v>261</v>
      </c>
      <c r="B101" s="3">
        <v>799</v>
      </c>
      <c r="C101" s="3">
        <v>900</v>
      </c>
      <c r="D101" s="1">
        <v>0.11</v>
      </c>
      <c r="E101" s="4">
        <f t="shared" si="21"/>
        <v>0.11222222222222222</v>
      </c>
      <c r="H101" t="str">
        <f t="shared" si="22"/>
        <v>Check Rating</v>
      </c>
      <c r="I101" t="str">
        <f t="shared" si="23"/>
        <v>Ok</v>
      </c>
      <c r="J101" t="str">
        <f t="shared" si="24"/>
        <v>Ok</v>
      </c>
      <c r="K101" t="str">
        <f t="shared" si="25"/>
        <v>Missing</v>
      </c>
      <c r="L101" t="str">
        <f t="shared" si="26"/>
        <v>Low Discount</v>
      </c>
      <c r="M101" t="str">
        <f t="shared" si="27"/>
        <v>Medium Price</v>
      </c>
      <c r="N101" t="str">
        <f>IF(OR(ISBLANK(tblproducts[[#This Row],[Ratings]])),"No Rating",IF(AND(tblproducts[[#This Row],[Calculated Discount]]&gt; High_dis,tblproducts[[#This Row],[Ratings]]&lt;3),"Yes","No"))</f>
        <v>No Rating</v>
      </c>
      <c r="O101" t="str">
        <f>IF(OR(ISBLANK(tblproducts[[#This Row],[Review]])),"No Review",IF(AND(tblproducts[[#This Row],[Calculated Discount]] &gt;High_dis,tblproducts[[#This Row],[Review]]&lt; weak_engagem),"Yes","No"))</f>
        <v>No Review</v>
      </c>
      <c r="P101" t="str">
        <f>IF(OR(ISBLANK(tblproducts[[#This Row],[Review]])),"Not Provided",IF(AND(tblproducts[[#This Row],[Review]]&gt;=str_engagement,tblproducts[[#This Row],[Ratings]]&gt;=3,tblproducts[[#This Row],[Ratings]]&lt;4),"Yes","No"))</f>
        <v>Not Provided</v>
      </c>
      <c r="Q101" t="str">
        <f>IF(OR(ISBLANK(tblproducts[[#This Row],[Review]])),"Not Provided",IF(AND(tblproducts[[#This Row],[Review]]&gt;str_engagement,tblproducts[[#This Row],[Ratings]]&gt;=4),"Yes","No"))</f>
        <v>Not Provided</v>
      </c>
    </row>
    <row r="102" spans="1:17" hidden="1" x14ac:dyDescent="0.25">
      <c r="A102" t="s">
        <v>26</v>
      </c>
      <c r="B102" s="3">
        <v>2999</v>
      </c>
      <c r="C102" s="3">
        <v>3290</v>
      </c>
      <c r="D102" s="1">
        <v>0.09</v>
      </c>
      <c r="E102" s="4">
        <f t="shared" si="21"/>
        <v>8.8449848024316116E-2</v>
      </c>
      <c r="F102">
        <v>15</v>
      </c>
      <c r="G102" s="2">
        <v>4</v>
      </c>
      <c r="H102" t="str">
        <f t="shared" si="22"/>
        <v>Ok</v>
      </c>
      <c r="I102" t="str">
        <f t="shared" si="23"/>
        <v>Ok</v>
      </c>
      <c r="J102" t="str">
        <f t="shared" si="24"/>
        <v>Ok</v>
      </c>
      <c r="K102" t="str">
        <f t="shared" si="25"/>
        <v>Excellent</v>
      </c>
      <c r="L102" t="str">
        <f t="shared" si="26"/>
        <v>Low Discount</v>
      </c>
      <c r="M102" t="str">
        <f t="shared" si="27"/>
        <v>High Price</v>
      </c>
      <c r="N102" t="str">
        <f>IF(OR(ISBLANK(tblproducts[[#This Row],[Ratings]])),"No Rating",IF(AND(tblproducts[[#This Row],[Calculated Discount]]&gt; High_dis,tblproducts[[#This Row],[Ratings]]&lt;3),"Yes","No"))</f>
        <v>No</v>
      </c>
      <c r="O102" t="str">
        <f>IF(OR(ISBLANK(tblproducts[[#This Row],[Review]])),"No Review",IF(AND(tblproducts[[#This Row],[Calculated Discount]] &gt;High_dis,tblproducts[[#This Row],[Review]]&lt; weak_engagem),"Yes","No"))</f>
        <v>No</v>
      </c>
      <c r="P102" t="str">
        <f>IF(OR(ISBLANK(tblproducts[[#This Row],[Review]])),"Not Provided",IF(AND(tblproducts[[#This Row],[Review]]&gt;=str_engagement,tblproducts[[#This Row],[Ratings]]&gt;=3,tblproducts[[#This Row],[Ratings]]&lt;4),"Yes","No"))</f>
        <v>No</v>
      </c>
      <c r="Q102" t="str">
        <f>IF(OR(ISBLANK(tblproducts[[#This Row],[Review]])),"Not Provided",IF(AND(tblproducts[[#This Row],[Review]]&gt;str_engagement,tblproducts[[#This Row],[Ratings]]&gt;=4),"Yes","No"))</f>
        <v>Yes</v>
      </c>
    </row>
    <row r="103" spans="1:17" hidden="1" x14ac:dyDescent="0.25">
      <c r="A103" t="s">
        <v>280</v>
      </c>
      <c r="B103" s="3">
        <v>1526</v>
      </c>
      <c r="C103" s="3">
        <v>1660</v>
      </c>
      <c r="D103" s="1">
        <v>0.08</v>
      </c>
      <c r="E103" s="4">
        <f t="shared" si="21"/>
        <v>8.0722891566265054E-2</v>
      </c>
      <c r="H103" t="str">
        <f t="shared" si="22"/>
        <v>Check Rating</v>
      </c>
      <c r="I103" t="str">
        <f t="shared" si="23"/>
        <v>Ok</v>
      </c>
      <c r="J103" t="str">
        <f t="shared" si="24"/>
        <v>Ok</v>
      </c>
      <c r="K103" t="str">
        <f t="shared" si="25"/>
        <v>Missing</v>
      </c>
      <c r="L103" t="str">
        <f t="shared" si="26"/>
        <v>Low Discount</v>
      </c>
      <c r="M103" t="str">
        <f t="shared" si="27"/>
        <v>Medium Price</v>
      </c>
      <c r="N103" t="str">
        <f>IF(OR(ISBLANK(tblproducts[[#This Row],[Ratings]])),"No Rating",IF(AND(tblproducts[[#This Row],[Calculated Discount]]&gt; High_dis,tblproducts[[#This Row],[Ratings]]&lt;3),"Yes","No"))</f>
        <v>No Rating</v>
      </c>
      <c r="O103" t="str">
        <f>IF(OR(ISBLANK(tblproducts[[#This Row],[Review]])),"No Review",IF(AND(tblproducts[[#This Row],[Calculated Discount]] &gt;High_dis,tblproducts[[#This Row],[Review]]&lt; weak_engagem),"Yes","No"))</f>
        <v>No Review</v>
      </c>
      <c r="P103" t="str">
        <f>IF(OR(ISBLANK(tblproducts[[#This Row],[Review]])),"Not Provided",IF(AND(tblproducts[[#This Row],[Review]]&gt;=str_engagement,tblproducts[[#This Row],[Ratings]]&gt;=3,tblproducts[[#This Row],[Ratings]]&lt;4),"Yes","No"))</f>
        <v>Not Provided</v>
      </c>
      <c r="Q103" t="str">
        <f>IF(OR(ISBLANK(tblproducts[[#This Row],[Review]])),"Not Provided",IF(AND(tblproducts[[#This Row],[Review]]&gt;str_engagement,tblproducts[[#This Row],[Ratings]]&gt;=4),"Yes","No"))</f>
        <v>Not Provided</v>
      </c>
    </row>
    <row r="104" spans="1:17" hidden="1" x14ac:dyDescent="0.25">
      <c r="A104" t="s">
        <v>237</v>
      </c>
      <c r="B104" s="3">
        <v>1732</v>
      </c>
      <c r="C104" s="3">
        <v>1799</v>
      </c>
      <c r="D104" s="1">
        <v>0.04</v>
      </c>
      <c r="E104" s="4">
        <f t="shared" si="21"/>
        <v>3.7242912729294052E-2</v>
      </c>
      <c r="H104" t="str">
        <f t="shared" si="22"/>
        <v>Check Rating</v>
      </c>
      <c r="I104" t="str">
        <f t="shared" si="23"/>
        <v>Ok</v>
      </c>
      <c r="J104" t="str">
        <f t="shared" si="24"/>
        <v>Ok</v>
      </c>
      <c r="K104" t="str">
        <f t="shared" si="25"/>
        <v>Missing</v>
      </c>
      <c r="L104" t="str">
        <f t="shared" si="26"/>
        <v>Low Discount</v>
      </c>
      <c r="M104" t="str">
        <f t="shared" si="27"/>
        <v>High Price</v>
      </c>
      <c r="N104" t="str">
        <f>IF(OR(ISBLANK(tblproducts[[#This Row],[Ratings]])),"No Rating",IF(AND(tblproducts[[#This Row],[Calculated Discount]]&gt; High_dis,tblproducts[[#This Row],[Ratings]]&lt;3),"Yes","No"))</f>
        <v>No Rating</v>
      </c>
      <c r="O104" t="str">
        <f>IF(OR(ISBLANK(tblproducts[[#This Row],[Review]])),"No Review",IF(AND(tblproducts[[#This Row],[Calculated Discount]] &gt;High_dis,tblproducts[[#This Row],[Review]]&lt; weak_engagem),"Yes","No"))</f>
        <v>No Review</v>
      </c>
      <c r="P104" t="str">
        <f>IF(OR(ISBLANK(tblproducts[[#This Row],[Review]])),"Not Provided",IF(AND(tblproducts[[#This Row],[Review]]&gt;=str_engagement,tblproducts[[#This Row],[Ratings]]&gt;=3,tblproducts[[#This Row],[Ratings]]&lt;4),"Yes","No"))</f>
        <v>Not Provided</v>
      </c>
      <c r="Q104" t="str">
        <f>IF(OR(ISBLANK(tblproducts[[#This Row],[Review]])),"Not Provided",IF(AND(tblproducts[[#This Row],[Review]]&gt;str_engagement,tblproducts[[#This Row],[Ratings]]&gt;=4),"Yes","No"))</f>
        <v>Not Provided</v>
      </c>
    </row>
    <row r="105" spans="1:17" hidden="1" x14ac:dyDescent="0.25">
      <c r="A105" t="s">
        <v>287</v>
      </c>
      <c r="B105" s="3">
        <v>3546</v>
      </c>
      <c r="C105" s="3">
        <v>3699</v>
      </c>
      <c r="D105" s="1">
        <v>0.04</v>
      </c>
      <c r="E105" s="4">
        <f t="shared" si="21"/>
        <v>4.1362530413625302E-2</v>
      </c>
      <c r="H105" t="str">
        <f t="shared" si="22"/>
        <v>Check Rating</v>
      </c>
      <c r="I105" t="str">
        <f t="shared" si="23"/>
        <v>Ok</v>
      </c>
      <c r="J105" t="str">
        <f t="shared" si="24"/>
        <v>Ok</v>
      </c>
      <c r="K105" t="str">
        <f t="shared" si="25"/>
        <v>Missing</v>
      </c>
      <c r="L105" t="str">
        <f t="shared" si="26"/>
        <v>Low Discount</v>
      </c>
      <c r="M105" t="str">
        <f t="shared" si="27"/>
        <v>High Price</v>
      </c>
      <c r="N105" t="str">
        <f>IF(OR(ISBLANK(tblproducts[[#This Row],[Ratings]])),"No Rating",IF(AND(tblproducts[[#This Row],[Calculated Discount]]&gt; High_dis,tblproducts[[#This Row],[Ratings]]&lt;3),"Yes","No"))</f>
        <v>No Rating</v>
      </c>
      <c r="O105" t="str">
        <f>IF(OR(ISBLANK(tblproducts[[#This Row],[Review]])),"No Review",IF(AND(tblproducts[[#This Row],[Calculated Discount]] &gt;High_dis,tblproducts[[#This Row],[Review]]&lt; weak_engagem),"Yes","No"))</f>
        <v>No Review</v>
      </c>
      <c r="P105" t="str">
        <f>IF(OR(ISBLANK(tblproducts[[#This Row],[Review]])),"Not Provided",IF(AND(tblproducts[[#This Row],[Review]]&gt;=str_engagement,tblproducts[[#This Row],[Ratings]]&gt;=3,tblproducts[[#This Row],[Ratings]]&lt;4),"Yes","No"))</f>
        <v>Not Provided</v>
      </c>
      <c r="Q105" t="str">
        <f>IF(OR(ISBLANK(tblproducts[[#This Row],[Review]])),"Not Provided",IF(AND(tblproducts[[#This Row],[Review]]&gt;str_engagement,tblproducts[[#This Row],[Ratings]]&gt;=4),"Yes","No"))</f>
        <v>Not Provided</v>
      </c>
    </row>
    <row r="106" spans="1:17" hidden="1" x14ac:dyDescent="0.25">
      <c r="A106" t="s">
        <v>165</v>
      </c>
      <c r="B106" s="3">
        <v>1459</v>
      </c>
      <c r="C106" s="3">
        <v>1499</v>
      </c>
      <c r="D106" s="1">
        <v>0.03</v>
      </c>
      <c r="E106" s="4">
        <f t="shared" si="21"/>
        <v>2.6684456304202801E-2</v>
      </c>
      <c r="H106" t="str">
        <f t="shared" si="22"/>
        <v>Check Rating</v>
      </c>
      <c r="I106" t="str">
        <f t="shared" si="23"/>
        <v>Ok</v>
      </c>
      <c r="J106" t="str">
        <f t="shared" si="24"/>
        <v>Ok</v>
      </c>
      <c r="K106" t="str">
        <f t="shared" si="25"/>
        <v>Missing</v>
      </c>
      <c r="L106" t="str">
        <f t="shared" si="26"/>
        <v>Low Discount</v>
      </c>
      <c r="M106" t="str">
        <f t="shared" si="27"/>
        <v>Medium Price</v>
      </c>
      <c r="N106" t="str">
        <f>IF(OR(ISBLANK(tblproducts[[#This Row],[Ratings]])),"No Rating",IF(AND(tblproducts[[#This Row],[Calculated Discount]]&gt; High_dis,tblproducts[[#This Row],[Ratings]]&lt;3),"Yes","No"))</f>
        <v>No Rating</v>
      </c>
      <c r="O106" t="str">
        <f>IF(OR(ISBLANK(tblproducts[[#This Row],[Review]])),"No Review",IF(AND(tblproducts[[#This Row],[Calculated Discount]] &gt;High_dis,tblproducts[[#This Row],[Review]]&lt; weak_engagem),"Yes","No"))</f>
        <v>No Review</v>
      </c>
      <c r="P106" t="str">
        <f>IF(OR(ISBLANK(tblproducts[[#This Row],[Review]])),"Not Provided",IF(AND(tblproducts[[#This Row],[Review]]&gt;=str_engagement,tblproducts[[#This Row],[Ratings]]&gt;=3,tblproducts[[#This Row],[Ratings]]&lt;4),"Yes","No"))</f>
        <v>Not Provided</v>
      </c>
      <c r="Q106" t="str">
        <f>IF(OR(ISBLANK(tblproducts[[#This Row],[Review]])),"Not Provided",IF(AND(tblproducts[[#This Row],[Review]]&gt;str_engagement,tblproducts[[#This Row],[Ratings]]&gt;=4),"Yes","No"))</f>
        <v>Not Provided</v>
      </c>
    </row>
    <row r="107" spans="1:17" hidden="1" x14ac:dyDescent="0.25">
      <c r="A107" t="s">
        <v>140</v>
      </c>
      <c r="B107" s="3">
        <v>2132</v>
      </c>
      <c r="C107" s="3">
        <v>2169</v>
      </c>
      <c r="D107" s="1">
        <v>0.02</v>
      </c>
      <c r="E107" s="4">
        <f t="shared" si="21"/>
        <v>1.705855232826187E-2</v>
      </c>
      <c r="H107" t="str">
        <f t="shared" si="22"/>
        <v>Check Rating</v>
      </c>
      <c r="I107" t="str">
        <f t="shared" si="23"/>
        <v>Ok</v>
      </c>
      <c r="J107" t="str">
        <f t="shared" si="24"/>
        <v>Ok</v>
      </c>
      <c r="K107" t="str">
        <f t="shared" si="25"/>
        <v>Missing</v>
      </c>
      <c r="L107" t="str">
        <f t="shared" si="26"/>
        <v>Low Discount</v>
      </c>
      <c r="M107" t="str">
        <f t="shared" si="27"/>
        <v>High Price</v>
      </c>
      <c r="N107" t="str">
        <f>IF(OR(ISBLANK(tblproducts[[#This Row],[Ratings]])),"No Rating",IF(AND(tblproducts[[#This Row],[Calculated Discount]]&gt; High_dis,tblproducts[[#This Row],[Ratings]]&lt;3),"Yes","No"))</f>
        <v>No Rating</v>
      </c>
      <c r="O107" t="str">
        <f>IF(OR(ISBLANK(tblproducts[[#This Row],[Review]])),"No Review",IF(AND(tblproducts[[#This Row],[Calculated Discount]] &gt;High_dis,tblproducts[[#This Row],[Review]]&lt; weak_engagem),"Yes","No"))</f>
        <v>No Review</v>
      </c>
      <c r="P107" t="str">
        <f>IF(OR(ISBLANK(tblproducts[[#This Row],[Review]])),"Not Provided",IF(AND(tblproducts[[#This Row],[Review]]&gt;=str_engagement,tblproducts[[#This Row],[Ratings]]&gt;=3,tblproducts[[#This Row],[Ratings]]&lt;4),"Yes","No"))</f>
        <v>Not Provided</v>
      </c>
      <c r="Q107" t="str">
        <f>IF(OR(ISBLANK(tblproducts[[#This Row],[Review]])),"Not Provided",IF(AND(tblproducts[[#This Row],[Review]]&gt;str_engagement,tblproducts[[#This Row],[Ratings]]&gt;=4),"Yes","No"))</f>
        <v>Not Provided</v>
      </c>
    </row>
    <row r="108" spans="1:17" hidden="1" x14ac:dyDescent="0.25">
      <c r="A108" t="s">
        <v>160</v>
      </c>
      <c r="B108" s="3">
        <v>1660</v>
      </c>
      <c r="C108" s="3">
        <v>1699</v>
      </c>
      <c r="D108" s="1">
        <v>0.02</v>
      </c>
      <c r="E108" s="4">
        <f t="shared" si="21"/>
        <v>2.2954679223072396E-2</v>
      </c>
      <c r="H108" t="str">
        <f t="shared" si="22"/>
        <v>Check Rating</v>
      </c>
      <c r="I108" t="str">
        <f t="shared" si="23"/>
        <v>Ok</v>
      </c>
      <c r="J108" t="str">
        <f t="shared" si="24"/>
        <v>Ok</v>
      </c>
      <c r="K108" t="str">
        <f t="shared" si="25"/>
        <v>Missing</v>
      </c>
      <c r="L108" t="str">
        <f t="shared" si="26"/>
        <v>Low Discount</v>
      </c>
      <c r="M108" t="str">
        <f t="shared" si="27"/>
        <v>Medium Price</v>
      </c>
      <c r="N108" t="str">
        <f>IF(OR(ISBLANK(tblproducts[[#This Row],[Ratings]])),"No Rating",IF(AND(tblproducts[[#This Row],[Calculated Discount]]&gt; High_dis,tblproducts[[#This Row],[Ratings]]&lt;3),"Yes","No"))</f>
        <v>No Rating</v>
      </c>
      <c r="O108" t="str">
        <f>IF(OR(ISBLANK(tblproducts[[#This Row],[Review]])),"No Review",IF(AND(tblproducts[[#This Row],[Calculated Discount]] &gt;High_dis,tblproducts[[#This Row],[Review]]&lt; weak_engagem),"Yes","No"))</f>
        <v>No Review</v>
      </c>
      <c r="P108" t="str">
        <f>IF(OR(ISBLANK(tblproducts[[#This Row],[Review]])),"Not Provided",IF(AND(tblproducts[[#This Row],[Review]]&gt;=str_engagement,tblproducts[[#This Row],[Ratings]]&gt;=3,tblproducts[[#This Row],[Ratings]]&lt;4),"Yes","No"))</f>
        <v>Not Provided</v>
      </c>
      <c r="Q108" t="str">
        <f>IF(OR(ISBLANK(tblproducts[[#This Row],[Review]])),"Not Provided",IF(AND(tblproducts[[#This Row],[Review]]&gt;str_engagement,tblproducts[[#This Row],[Ratings]]&gt;=4),"Yes","No"))</f>
        <v>Not Provided</v>
      </c>
    </row>
    <row r="109" spans="1:17" hidden="1" x14ac:dyDescent="0.25">
      <c r="A109" t="s">
        <v>251</v>
      </c>
      <c r="B109" s="3">
        <v>1666</v>
      </c>
      <c r="C109" s="3">
        <v>1699</v>
      </c>
      <c r="D109" s="1">
        <v>0.02</v>
      </c>
      <c r="E109" s="4">
        <f t="shared" si="21"/>
        <v>1.9423190111830489E-2</v>
      </c>
      <c r="H109" t="str">
        <f t="shared" si="22"/>
        <v>Check Rating</v>
      </c>
      <c r="I109" t="str">
        <f t="shared" si="23"/>
        <v>Ok</v>
      </c>
      <c r="J109" t="str">
        <f t="shared" si="24"/>
        <v>Ok</v>
      </c>
      <c r="K109" t="str">
        <f t="shared" si="25"/>
        <v>Missing</v>
      </c>
      <c r="L109" t="str">
        <f t="shared" si="26"/>
        <v>Low Discount</v>
      </c>
      <c r="M109" t="str">
        <f t="shared" si="27"/>
        <v>Medium Price</v>
      </c>
      <c r="N109" t="str">
        <f>IF(OR(ISBLANK(tblproducts[[#This Row],[Ratings]])),"No Rating",IF(AND(tblproducts[[#This Row],[Calculated Discount]]&gt; High_dis,tblproducts[[#This Row],[Ratings]]&lt;3),"Yes","No"))</f>
        <v>No Rating</v>
      </c>
      <c r="O109" t="str">
        <f>IF(OR(ISBLANK(tblproducts[[#This Row],[Review]])),"No Review",IF(AND(tblproducts[[#This Row],[Calculated Discount]] &gt;High_dis,tblproducts[[#This Row],[Review]]&lt; weak_engagem),"Yes","No"))</f>
        <v>No Review</v>
      </c>
      <c r="P109" t="str">
        <f>IF(OR(ISBLANK(tblproducts[[#This Row],[Review]])),"Not Provided",IF(AND(tblproducts[[#This Row],[Review]]&gt;=str_engagement,tblproducts[[#This Row],[Ratings]]&gt;=3,tblproducts[[#This Row],[Ratings]]&lt;4),"Yes","No"))</f>
        <v>Not Provided</v>
      </c>
      <c r="Q109" t="str">
        <f>IF(OR(ISBLANK(tblproducts[[#This Row],[Review]])),"Not Provided",IF(AND(tblproducts[[#This Row],[Review]]&gt;str_engagement,tblproducts[[#This Row],[Ratings]]&gt;=4),"Yes","No"))</f>
        <v>Not Provided</v>
      </c>
    </row>
    <row r="110" spans="1:17" hidden="1" x14ac:dyDescent="0.25">
      <c r="A110" t="s">
        <v>282</v>
      </c>
      <c r="B110" s="3">
        <v>1462</v>
      </c>
      <c r="C110" s="3">
        <v>1499</v>
      </c>
      <c r="D110" s="1">
        <v>0.02</v>
      </c>
      <c r="E110" s="4">
        <f t="shared" si="21"/>
        <v>2.4683122081387593E-2</v>
      </c>
      <c r="H110" t="str">
        <f t="shared" si="22"/>
        <v>Check Rating</v>
      </c>
      <c r="I110" t="str">
        <f t="shared" si="23"/>
        <v>Ok</v>
      </c>
      <c r="J110" t="str">
        <f t="shared" si="24"/>
        <v>Ok</v>
      </c>
      <c r="K110" t="str">
        <f t="shared" si="25"/>
        <v>Missing</v>
      </c>
      <c r="L110" t="str">
        <f t="shared" si="26"/>
        <v>Low Discount</v>
      </c>
      <c r="M110" t="str">
        <f t="shared" si="27"/>
        <v>Medium Price</v>
      </c>
      <c r="N110" t="str">
        <f>IF(OR(ISBLANK(tblproducts[[#This Row],[Ratings]])),"No Rating",IF(AND(tblproducts[[#This Row],[Calculated Discount]]&gt; High_dis,tblproducts[[#This Row],[Ratings]]&lt;3),"Yes","No"))</f>
        <v>No Rating</v>
      </c>
      <c r="O110" t="str">
        <f>IF(OR(ISBLANK(tblproducts[[#This Row],[Review]])),"No Review",IF(AND(tblproducts[[#This Row],[Calculated Discount]] &gt;High_dis,tblproducts[[#This Row],[Review]]&lt; weak_engagem),"Yes","No"))</f>
        <v>No Review</v>
      </c>
      <c r="P110" t="str">
        <f>IF(OR(ISBLANK(tblproducts[[#This Row],[Review]])),"Not Provided",IF(AND(tblproducts[[#This Row],[Review]]&gt;=str_engagement,tblproducts[[#This Row],[Ratings]]&gt;=3,tblproducts[[#This Row],[Ratings]]&lt;4),"Yes","No"))</f>
        <v>Not Provided</v>
      </c>
      <c r="Q110" t="str">
        <f>IF(OR(ISBLANK(tblproducts[[#This Row],[Review]])),"Not Provided",IF(AND(tblproducts[[#This Row],[Review]]&gt;str_engagement,tblproducts[[#This Row],[Ratings]]&gt;=4),"Yes","No"))</f>
        <v>Not Provided</v>
      </c>
    </row>
    <row r="111" spans="1:17" hidden="1" x14ac:dyDescent="0.25">
      <c r="A111" t="s">
        <v>312</v>
      </c>
      <c r="B111" s="3">
        <v>1658</v>
      </c>
      <c r="C111" s="3">
        <v>1699</v>
      </c>
      <c r="D111" s="1">
        <v>0.02</v>
      </c>
      <c r="E111" s="4">
        <f t="shared" si="21"/>
        <v>2.4131842260153032E-2</v>
      </c>
      <c r="H111" t="str">
        <f t="shared" si="22"/>
        <v>Check Rating</v>
      </c>
      <c r="I111" t="str">
        <f t="shared" si="23"/>
        <v>Ok</v>
      </c>
      <c r="J111" t="str">
        <f t="shared" si="24"/>
        <v>Ok</v>
      </c>
      <c r="K111" t="str">
        <f t="shared" si="25"/>
        <v>Missing</v>
      </c>
      <c r="L111" t="str">
        <f t="shared" si="26"/>
        <v>Low Discount</v>
      </c>
      <c r="M111" t="str">
        <f t="shared" si="27"/>
        <v>Medium Price</v>
      </c>
      <c r="N111" t="str">
        <f>IF(OR(ISBLANK(tblproducts[[#This Row],[Ratings]])),"No Rating",IF(AND(tblproducts[[#This Row],[Calculated Discount]]&gt; High_dis,tblproducts[[#This Row],[Ratings]]&lt;3),"Yes","No"))</f>
        <v>No Rating</v>
      </c>
      <c r="O111" t="str">
        <f>IF(OR(ISBLANK(tblproducts[[#This Row],[Review]])),"No Review",IF(AND(tblproducts[[#This Row],[Calculated Discount]] &gt;High_dis,tblproducts[[#This Row],[Review]]&lt; weak_engagem),"Yes","No"))</f>
        <v>No Review</v>
      </c>
      <c r="P111" t="str">
        <f>IF(OR(ISBLANK(tblproducts[[#This Row],[Review]])),"Not Provided",IF(AND(tblproducts[[#This Row],[Review]]&gt;=str_engagement,tblproducts[[#This Row],[Ratings]]&gt;=3,tblproducts[[#This Row],[Ratings]]&lt;4),"Yes","No"))</f>
        <v>Not Provided</v>
      </c>
      <c r="Q111" t="str">
        <f>IF(OR(ISBLANK(tblproducts[[#This Row],[Review]])),"Not Provided",IF(AND(tblproducts[[#This Row],[Review]]&gt;str_engagement,tblproducts[[#This Row],[Ratings]]&gt;=4),"Yes","No"))</f>
        <v>Not Provided</v>
      </c>
    </row>
    <row r="112" spans="1:17" hidden="1" x14ac:dyDescent="0.25">
      <c r="A112" t="s">
        <v>314</v>
      </c>
      <c r="B112" s="3">
        <v>1768</v>
      </c>
      <c r="C112" s="3">
        <v>1799</v>
      </c>
      <c r="D112" s="1">
        <v>0.02</v>
      </c>
      <c r="E112" s="4">
        <f t="shared" si="21"/>
        <v>1.7231795441912175E-2</v>
      </c>
      <c r="H112" t="str">
        <f t="shared" si="22"/>
        <v>Check Rating</v>
      </c>
      <c r="I112" t="str">
        <f t="shared" si="23"/>
        <v>Ok</v>
      </c>
      <c r="J112" t="str">
        <f t="shared" si="24"/>
        <v>Ok</v>
      </c>
      <c r="K112" t="str">
        <f t="shared" si="25"/>
        <v>Missing</v>
      </c>
      <c r="L112" t="str">
        <f t="shared" si="26"/>
        <v>Low Discount</v>
      </c>
      <c r="M112" t="str">
        <f t="shared" si="27"/>
        <v>High Price</v>
      </c>
      <c r="N112" t="str">
        <f>IF(OR(ISBLANK(tblproducts[[#This Row],[Ratings]])),"No Rating",IF(AND(tblproducts[[#This Row],[Calculated Discount]]&gt; High_dis,tblproducts[[#This Row],[Ratings]]&lt;3),"Yes","No"))</f>
        <v>No Rating</v>
      </c>
      <c r="O112" t="str">
        <f>IF(OR(ISBLANK(tblproducts[[#This Row],[Review]])),"No Review",IF(AND(tblproducts[[#This Row],[Calculated Discount]] &gt;High_dis,tblproducts[[#This Row],[Review]]&lt; weak_engagem),"Yes","No"))</f>
        <v>No Review</v>
      </c>
      <c r="P112" t="str">
        <f>IF(OR(ISBLANK(tblproducts[[#This Row],[Review]])),"Not Provided",IF(AND(tblproducts[[#This Row],[Review]]&gt;=str_engagement,tblproducts[[#This Row],[Ratings]]&gt;=3,tblproducts[[#This Row],[Ratings]]&lt;4),"Yes","No"))</f>
        <v>Not Provided</v>
      </c>
      <c r="Q112" t="str">
        <f>IF(OR(ISBLANK(tblproducts[[#This Row],[Review]])),"Not Provided",IF(AND(tblproducts[[#This Row],[Review]]&gt;str_engagement,tblproducts[[#This Row],[Ratings]]&gt;=4),"Yes","No"))</f>
        <v>Not Provided</v>
      </c>
    </row>
    <row r="113" spans="1:17" hidden="1" x14ac:dyDescent="0.25">
      <c r="A113" t="s">
        <v>301</v>
      </c>
      <c r="B113" s="3">
        <v>1875</v>
      </c>
      <c r="C113" s="3">
        <v>1899</v>
      </c>
      <c r="D113" s="1">
        <v>0.01</v>
      </c>
      <c r="E113" s="4">
        <f t="shared" si="21"/>
        <v>1.2638230647709321E-2</v>
      </c>
      <c r="H113" t="str">
        <f t="shared" si="22"/>
        <v>Check Rating</v>
      </c>
      <c r="I113" t="str">
        <f t="shared" si="23"/>
        <v>Ok</v>
      </c>
      <c r="J113" t="str">
        <f t="shared" si="24"/>
        <v>Ok</v>
      </c>
      <c r="K113" t="str">
        <f t="shared" si="25"/>
        <v>Missing</v>
      </c>
      <c r="L113" t="str">
        <f t="shared" si="26"/>
        <v>Low Discount</v>
      </c>
      <c r="M113" t="str">
        <f t="shared" si="27"/>
        <v>High Price</v>
      </c>
      <c r="N113" t="str">
        <f>IF(OR(ISBLANK(tblproducts[[#This Row],[Ratings]])),"No Rating",IF(AND(tblproducts[[#This Row],[Calculated Discount]]&gt; High_dis,tblproducts[[#This Row],[Ratings]]&lt;3),"Yes","No"))</f>
        <v>No Rating</v>
      </c>
      <c r="O113" t="str">
        <f>IF(OR(ISBLANK(tblproducts[[#This Row],[Review]])),"No Review",IF(AND(tblproducts[[#This Row],[Calculated Discount]] &gt;High_dis,tblproducts[[#This Row],[Review]]&lt; weak_engagem),"Yes","No"))</f>
        <v>No Review</v>
      </c>
      <c r="P113" t="str">
        <f>IF(OR(ISBLANK(tblproducts[[#This Row],[Review]])),"Not Provided",IF(AND(tblproducts[[#This Row],[Review]]&gt;=str_engagement,tblproducts[[#This Row],[Ratings]]&gt;=3,tblproducts[[#This Row],[Ratings]]&lt;4),"Yes","No"))</f>
        <v>Not Provided</v>
      </c>
      <c r="Q113" t="str">
        <f>IF(OR(ISBLANK(tblproducts[[#This Row],[Review]])),"Not Provided",IF(AND(tblproducts[[#This Row],[Review]]&gt;str_engagement,tblproducts[[#This Row],[Ratings]]&gt;=4),"Yes","No"))</f>
        <v>Not Provided</v>
      </c>
    </row>
    <row r="116" spans="1:17" x14ac:dyDescent="0.25">
      <c r="A116">
        <f>ROWS(A2:A113)</f>
        <v>112</v>
      </c>
      <c r="B116" s="3">
        <f>AVERAGE(B2:B113)</f>
        <v>1186.8928571428571</v>
      </c>
      <c r="D116" s="1">
        <f>AVERAGE(D2:D113)</f>
        <v>0.36776785714285737</v>
      </c>
      <c r="E116" s="1">
        <f>AVERAGE(E2:E113)</f>
        <v>0.36714123251752795</v>
      </c>
      <c r="F116">
        <f>SUM(F2:F113)</f>
        <v>723</v>
      </c>
      <c r="G116" s="2">
        <f>AVERAGE(G2:G113)</f>
        <v>3.8894736842105253</v>
      </c>
    </row>
  </sheetData>
  <phoneticPr fontId="18" type="noConversion"/>
  <pageMargins left="0.7" right="0.7" top="0.75" bottom="0.75" header="0.3" footer="0.3"/>
  <ignoredErrors>
    <ignoredError sqref="F116" formula="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8C5C-D9EE-4EA5-9CD5-E65DBC51AD0E}">
  <dimension ref="A1:N132"/>
  <sheetViews>
    <sheetView topLeftCell="A57" workbookViewId="0">
      <selection activeCell="G56" sqref="G56"/>
    </sheetView>
  </sheetViews>
  <sheetFormatPr defaultRowHeight="15" x14ac:dyDescent="0.25"/>
  <cols>
    <col min="1" max="1" width="22.140625" customWidth="1"/>
    <col min="2" max="2" width="20.28515625" customWidth="1"/>
    <col min="9" max="9" width="66.42578125" bestFit="1" customWidth="1"/>
    <col min="10" max="10" width="17.85546875" bestFit="1" customWidth="1"/>
    <col min="11" max="11" width="14.42578125" bestFit="1" customWidth="1"/>
    <col min="13" max="13" width="95" bestFit="1" customWidth="1"/>
    <col min="14" max="14" width="5.5703125" bestFit="1" customWidth="1"/>
  </cols>
  <sheetData>
    <row r="1" spans="1:14" ht="15.75" x14ac:dyDescent="0.25">
      <c r="A1">
        <f>_xlfn.QUARTILE.INC(tblproducts[Current price],1)</f>
        <v>493</v>
      </c>
      <c r="I1" s="5" t="s">
        <v>353</v>
      </c>
      <c r="M1" s="6" t="s">
        <v>336</v>
      </c>
      <c r="N1" t="s" vm="1">
        <v>349</v>
      </c>
    </row>
    <row r="2" spans="1:14" x14ac:dyDescent="0.25">
      <c r="A2">
        <f>_xlfn.QUARTILE.INC(tblproducts[Current price],3)</f>
        <v>1669.5</v>
      </c>
      <c r="I2" t="s">
        <v>362</v>
      </c>
    </row>
    <row r="3" spans="1:14" x14ac:dyDescent="0.25">
      <c r="I3" s="6" t="s">
        <v>354</v>
      </c>
      <c r="J3" t="s">
        <v>356</v>
      </c>
      <c r="K3" t="s">
        <v>357</v>
      </c>
      <c r="M3" s="6" t="s">
        <v>354</v>
      </c>
    </row>
    <row r="4" spans="1:14" x14ac:dyDescent="0.25">
      <c r="A4" t="s">
        <v>332</v>
      </c>
      <c r="B4">
        <f>_xlfn.PERCENTILE.INC(tblproducts[Review],0.75)</f>
        <v>14</v>
      </c>
      <c r="I4" s="7" t="s">
        <v>63</v>
      </c>
      <c r="J4">
        <v>5</v>
      </c>
      <c r="K4">
        <v>3</v>
      </c>
      <c r="M4" s="7" t="s">
        <v>194</v>
      </c>
    </row>
    <row r="5" spans="1:14" x14ac:dyDescent="0.25">
      <c r="A5" t="s">
        <v>333</v>
      </c>
      <c r="B5">
        <f>_xlfn.PERCENTILE.INC(tblproducts[Review],0.25)</f>
        <v>5</v>
      </c>
      <c r="I5" s="7" t="s">
        <v>56</v>
      </c>
      <c r="J5">
        <v>5</v>
      </c>
      <c r="K5">
        <v>2</v>
      </c>
      <c r="M5" s="7" t="s">
        <v>209</v>
      </c>
    </row>
    <row r="6" spans="1:14" x14ac:dyDescent="0.25">
      <c r="A6" t="s">
        <v>334</v>
      </c>
      <c r="B6" s="4">
        <f>_xlfn.PERCENTILE.INC(tblproducts[Discount],0.75)</f>
        <v>0.49</v>
      </c>
      <c r="I6" s="7" t="s">
        <v>60</v>
      </c>
      <c r="J6">
        <v>5</v>
      </c>
      <c r="K6">
        <v>2</v>
      </c>
      <c r="M6" s="7" t="s">
        <v>190</v>
      </c>
    </row>
    <row r="7" spans="1:14" x14ac:dyDescent="0.25">
      <c r="A7" t="s">
        <v>335</v>
      </c>
      <c r="B7">
        <f>AVERAGE(tblproducts[Ratings])</f>
        <v>3.8894736842105253</v>
      </c>
      <c r="I7" s="7" t="s">
        <v>120</v>
      </c>
      <c r="J7">
        <v>5</v>
      </c>
      <c r="K7">
        <v>2</v>
      </c>
      <c r="M7" s="7" t="s">
        <v>198</v>
      </c>
    </row>
    <row r="8" spans="1:14" x14ac:dyDescent="0.25">
      <c r="I8" s="7" t="s">
        <v>245</v>
      </c>
      <c r="J8">
        <v>5</v>
      </c>
      <c r="K8">
        <v>1</v>
      </c>
      <c r="M8" s="7" t="s">
        <v>318</v>
      </c>
    </row>
    <row r="9" spans="1:14" x14ac:dyDescent="0.25">
      <c r="A9" t="s">
        <v>340</v>
      </c>
      <c r="B9">
        <f>ROWS(tblproducts[Product])</f>
        <v>112</v>
      </c>
      <c r="I9" s="7" t="s">
        <v>295</v>
      </c>
      <c r="J9">
        <v>5</v>
      </c>
      <c r="K9">
        <v>1</v>
      </c>
      <c r="M9" s="7" t="s">
        <v>355</v>
      </c>
    </row>
    <row r="10" spans="1:14" x14ac:dyDescent="0.25">
      <c r="A10" t="s">
        <v>341</v>
      </c>
      <c r="B10">
        <f>AVERAGE(tblproducts[Current price])</f>
        <v>1186.8928571428571</v>
      </c>
      <c r="I10" s="7" t="s">
        <v>117</v>
      </c>
      <c r="J10">
        <v>5</v>
      </c>
      <c r="K10">
        <v>1</v>
      </c>
    </row>
    <row r="11" spans="1:14" x14ac:dyDescent="0.25">
      <c r="A11" t="s">
        <v>342</v>
      </c>
      <c r="B11">
        <f>AVERAGE(tblproducts[Old price])</f>
        <v>1811.1071428571429</v>
      </c>
      <c r="I11" s="7" t="s">
        <v>355</v>
      </c>
      <c r="J11">
        <v>5</v>
      </c>
      <c r="K11">
        <v>12</v>
      </c>
      <c r="M11" s="6" t="s">
        <v>337</v>
      </c>
      <c r="N11" t="s" vm="2">
        <v>349</v>
      </c>
    </row>
    <row r="12" spans="1:14" x14ac:dyDescent="0.25">
      <c r="A12" t="s">
        <v>343</v>
      </c>
      <c r="B12" s="4">
        <f>AVERAGE(tblproducts[Discount])</f>
        <v>0.36776785714285737</v>
      </c>
    </row>
    <row r="13" spans="1:14" x14ac:dyDescent="0.25">
      <c r="A13" t="s">
        <v>335</v>
      </c>
      <c r="B13">
        <f>AVERAGE(tblproducts[Ratings])</f>
        <v>3.8894736842105253</v>
      </c>
      <c r="I13" s="6" t="s">
        <v>354</v>
      </c>
      <c r="J13" t="s">
        <v>356</v>
      </c>
      <c r="K13" t="s">
        <v>358</v>
      </c>
      <c r="M13" s="6" t="s">
        <v>354</v>
      </c>
    </row>
    <row r="14" spans="1:14" x14ac:dyDescent="0.25">
      <c r="A14" t="s">
        <v>344</v>
      </c>
      <c r="B14">
        <f>SUM(tblproducts[Review])</f>
        <v>723</v>
      </c>
      <c r="I14" s="7" t="s">
        <v>318</v>
      </c>
      <c r="J14">
        <v>2</v>
      </c>
      <c r="K14">
        <v>1</v>
      </c>
      <c r="M14" s="7" t="s">
        <v>56</v>
      </c>
    </row>
    <row r="15" spans="1:14" x14ac:dyDescent="0.25">
      <c r="A15" t="s">
        <v>345</v>
      </c>
      <c r="B15">
        <f>MAX(tblproducts[Current price])</f>
        <v>3750</v>
      </c>
      <c r="I15" s="7" t="s">
        <v>190</v>
      </c>
      <c r="J15">
        <v>2.1</v>
      </c>
      <c r="K15">
        <v>13</v>
      </c>
      <c r="M15" s="7" t="s">
        <v>245</v>
      </c>
    </row>
    <row r="16" spans="1:14" x14ac:dyDescent="0.25">
      <c r="A16" t="s">
        <v>346</v>
      </c>
      <c r="B16">
        <f>MIN(tblproducts[Current price])</f>
        <v>38</v>
      </c>
      <c r="I16" s="7" t="s">
        <v>229</v>
      </c>
      <c r="J16">
        <v>2.1</v>
      </c>
      <c r="K16">
        <v>7</v>
      </c>
      <c r="M16" s="7" t="s">
        <v>120</v>
      </c>
    </row>
    <row r="17" spans="1:14" x14ac:dyDescent="0.25">
      <c r="I17" s="7" t="s">
        <v>206</v>
      </c>
      <c r="J17">
        <v>2.2000000000000002</v>
      </c>
      <c r="K17">
        <v>6</v>
      </c>
      <c r="M17" s="7" t="s">
        <v>63</v>
      </c>
    </row>
    <row r="18" spans="1:14" x14ac:dyDescent="0.25">
      <c r="A18" t="s">
        <v>347</v>
      </c>
      <c r="B18" t="str">
        <f>_xlfn.XLOOKUP(MAX(tblproducts[Current price]),tblproducts[Current price],tblproducts[Product])</f>
        <v>32PCS Portable Cordless Drill Set With Cyclic Battery Drive -26 Variable Speed</v>
      </c>
      <c r="I18" s="7" t="s">
        <v>227</v>
      </c>
      <c r="J18">
        <v>2.2000000000000002</v>
      </c>
      <c r="K18">
        <v>6</v>
      </c>
      <c r="M18" s="7" t="s">
        <v>318</v>
      </c>
    </row>
    <row r="19" spans="1:14" x14ac:dyDescent="0.25">
      <c r="A19" t="s">
        <v>348</v>
      </c>
      <c r="B19" t="str">
        <f>_xlfn.XLOOKUP(MIN(tblproducts[Current price]),tblproducts[Current price],tblproducts[Product])</f>
        <v>3PCS Single Head Knitting Crochet Sweater Needle Set</v>
      </c>
      <c r="I19" s="7" t="s">
        <v>355</v>
      </c>
      <c r="J19">
        <v>2.12</v>
      </c>
      <c r="K19">
        <v>6.6</v>
      </c>
      <c r="M19" s="7" t="s">
        <v>355</v>
      </c>
    </row>
    <row r="20" spans="1:14" x14ac:dyDescent="0.25">
      <c r="M20" s="6" t="s">
        <v>338</v>
      </c>
      <c r="N20" t="s" vm="3">
        <v>364</v>
      </c>
    </row>
    <row r="21" spans="1:14" x14ac:dyDescent="0.25">
      <c r="I21" s="7" t="s">
        <v>361</v>
      </c>
    </row>
    <row r="22" spans="1:14" x14ac:dyDescent="0.25">
      <c r="I22" s="6" t="s">
        <v>354</v>
      </c>
      <c r="J22" t="s">
        <v>359</v>
      </c>
      <c r="M22" s="6" t="s">
        <v>354</v>
      </c>
    </row>
    <row r="23" spans="1:14" x14ac:dyDescent="0.25">
      <c r="I23" s="7" t="s">
        <v>316</v>
      </c>
      <c r="J23">
        <v>0.64</v>
      </c>
      <c r="M23" s="7" t="s">
        <v>125</v>
      </c>
    </row>
    <row r="24" spans="1:14" x14ac:dyDescent="0.25">
      <c r="I24" s="7" t="s">
        <v>35</v>
      </c>
      <c r="J24">
        <v>0.55000000000000004</v>
      </c>
      <c r="M24" s="7" t="s">
        <v>44</v>
      </c>
    </row>
    <row r="25" spans="1:14" x14ac:dyDescent="0.25">
      <c r="I25" s="7" t="s">
        <v>190</v>
      </c>
      <c r="J25">
        <v>0.55000000000000004</v>
      </c>
      <c r="M25" s="7" t="s">
        <v>6</v>
      </c>
    </row>
    <row r="26" spans="1:14" x14ac:dyDescent="0.25">
      <c r="I26" s="7" t="s">
        <v>154</v>
      </c>
      <c r="J26">
        <v>0.55000000000000004</v>
      </c>
      <c r="M26" s="7" t="s">
        <v>95</v>
      </c>
    </row>
    <row r="27" spans="1:14" x14ac:dyDescent="0.25">
      <c r="I27" s="7" t="s">
        <v>85</v>
      </c>
      <c r="J27">
        <v>0.54</v>
      </c>
      <c r="M27" s="7" t="s">
        <v>105</v>
      </c>
    </row>
    <row r="28" spans="1:14" x14ac:dyDescent="0.25">
      <c r="I28" s="7" t="s">
        <v>186</v>
      </c>
      <c r="J28">
        <v>0.54</v>
      </c>
      <c r="M28" s="7" t="s">
        <v>194</v>
      </c>
    </row>
    <row r="29" spans="1:14" x14ac:dyDescent="0.25">
      <c r="I29" s="7" t="s">
        <v>120</v>
      </c>
      <c r="J29">
        <v>0.53</v>
      </c>
      <c r="M29" s="7" t="s">
        <v>177</v>
      </c>
    </row>
    <row r="30" spans="1:14" x14ac:dyDescent="0.25">
      <c r="I30" s="7" t="s">
        <v>71</v>
      </c>
      <c r="J30">
        <v>0.53</v>
      </c>
      <c r="M30" s="7" t="s">
        <v>38</v>
      </c>
    </row>
    <row r="31" spans="1:14" x14ac:dyDescent="0.25">
      <c r="I31" s="7" t="s">
        <v>102</v>
      </c>
      <c r="J31">
        <v>0.52</v>
      </c>
      <c r="M31" s="7" t="s">
        <v>30</v>
      </c>
    </row>
    <row r="32" spans="1:14" x14ac:dyDescent="0.25">
      <c r="I32" s="7" t="s">
        <v>198</v>
      </c>
      <c r="J32">
        <v>0.52</v>
      </c>
      <c r="M32" s="7" t="s">
        <v>304</v>
      </c>
    </row>
    <row r="33" spans="1:13" x14ac:dyDescent="0.25">
      <c r="I33" s="7" t="s">
        <v>355</v>
      </c>
      <c r="J33">
        <v>0.54727272727272724</v>
      </c>
      <c r="M33" s="7" t="s">
        <v>251</v>
      </c>
    </row>
    <row r="34" spans="1:13" x14ac:dyDescent="0.25">
      <c r="I34" s="7"/>
      <c r="M34" s="7" t="s">
        <v>26</v>
      </c>
    </row>
    <row r="35" spans="1:13" x14ac:dyDescent="0.25">
      <c r="I35" s="7" t="s">
        <v>360</v>
      </c>
      <c r="M35" s="7" t="s">
        <v>301</v>
      </c>
    </row>
    <row r="36" spans="1:13" x14ac:dyDescent="0.25">
      <c r="I36" s="6" t="s">
        <v>354</v>
      </c>
      <c r="J36" t="s">
        <v>358</v>
      </c>
      <c r="K36" t="s">
        <v>356</v>
      </c>
      <c r="M36" s="7" t="s">
        <v>278</v>
      </c>
    </row>
    <row r="37" spans="1:13" x14ac:dyDescent="0.25">
      <c r="A37" t="s">
        <v>350</v>
      </c>
      <c r="B37">
        <f>CORREL(tblproducts[Discount],tblproducts[Review])</f>
        <v>-0.13682272428088291</v>
      </c>
      <c r="I37" s="7" t="s">
        <v>194</v>
      </c>
      <c r="J37">
        <v>69</v>
      </c>
      <c r="K37">
        <v>2.8</v>
      </c>
      <c r="M37" s="7" t="s">
        <v>151</v>
      </c>
    </row>
    <row r="38" spans="1:13" x14ac:dyDescent="0.25">
      <c r="I38" s="7" t="s">
        <v>30</v>
      </c>
      <c r="J38">
        <v>55</v>
      </c>
      <c r="K38">
        <v>4.5999999999999996</v>
      </c>
      <c r="M38" s="7" t="s">
        <v>232</v>
      </c>
    </row>
    <row r="39" spans="1:13" x14ac:dyDescent="0.25">
      <c r="I39" s="7" t="s">
        <v>89</v>
      </c>
      <c r="J39">
        <v>49</v>
      </c>
      <c r="K39">
        <v>4.5999999999999996</v>
      </c>
      <c r="M39" s="7" t="s">
        <v>212</v>
      </c>
    </row>
    <row r="40" spans="1:13" x14ac:dyDescent="0.25">
      <c r="I40" s="7" t="s">
        <v>68</v>
      </c>
      <c r="J40">
        <v>44</v>
      </c>
      <c r="K40">
        <v>4.5999999999999996</v>
      </c>
      <c r="M40" s="7" t="s">
        <v>209</v>
      </c>
    </row>
    <row r="41" spans="1:13" x14ac:dyDescent="0.25">
      <c r="I41" s="7" t="s">
        <v>44</v>
      </c>
      <c r="J41">
        <v>39</v>
      </c>
      <c r="K41">
        <v>4.7</v>
      </c>
      <c r="M41" s="7" t="s">
        <v>68</v>
      </c>
    </row>
    <row r="42" spans="1:13" x14ac:dyDescent="0.25">
      <c r="I42" s="7" t="s">
        <v>122</v>
      </c>
      <c r="J42">
        <v>36</v>
      </c>
      <c r="K42">
        <v>4.3</v>
      </c>
      <c r="M42" s="7" t="s">
        <v>235</v>
      </c>
    </row>
    <row r="43" spans="1:13" x14ac:dyDescent="0.25">
      <c r="I43" s="7" t="s">
        <v>114</v>
      </c>
      <c r="J43">
        <v>32</v>
      </c>
      <c r="K43">
        <v>4.5</v>
      </c>
      <c r="M43" s="7" t="s">
        <v>71</v>
      </c>
    </row>
    <row r="44" spans="1:13" x14ac:dyDescent="0.25">
      <c r="I44" s="7" t="s">
        <v>14</v>
      </c>
      <c r="J44">
        <v>24</v>
      </c>
      <c r="K44">
        <v>4.5999999999999996</v>
      </c>
      <c r="M44" s="7" t="s">
        <v>284</v>
      </c>
    </row>
    <row r="45" spans="1:13" x14ac:dyDescent="0.25">
      <c r="I45" s="7" t="s">
        <v>111</v>
      </c>
      <c r="J45">
        <v>20</v>
      </c>
      <c r="K45">
        <v>4.7</v>
      </c>
      <c r="M45" s="7" t="s">
        <v>47</v>
      </c>
    </row>
    <row r="46" spans="1:13" x14ac:dyDescent="0.25">
      <c r="I46" s="7" t="s">
        <v>97</v>
      </c>
      <c r="J46">
        <v>20</v>
      </c>
      <c r="K46">
        <v>4.0999999999999996</v>
      </c>
      <c r="M46" s="7" t="s">
        <v>131</v>
      </c>
    </row>
    <row r="47" spans="1:13" x14ac:dyDescent="0.25">
      <c r="I47" s="7" t="s">
        <v>355</v>
      </c>
      <c r="J47">
        <v>38.799999999999997</v>
      </c>
      <c r="K47">
        <v>4.3500000000000005</v>
      </c>
      <c r="M47" s="7" t="s">
        <v>75</v>
      </c>
    </row>
    <row r="48" spans="1:13" x14ac:dyDescent="0.25">
      <c r="M48" s="7" t="s">
        <v>182</v>
      </c>
    </row>
    <row r="49" spans="1:13" x14ac:dyDescent="0.25">
      <c r="I49" s="7" t="s">
        <v>363</v>
      </c>
      <c r="M49" s="7" t="s">
        <v>97</v>
      </c>
    </row>
    <row r="50" spans="1:13" x14ac:dyDescent="0.25">
      <c r="I50" s="6" t="s">
        <v>354</v>
      </c>
      <c r="J50" t="s">
        <v>356</v>
      </c>
      <c r="K50" t="s">
        <v>358</v>
      </c>
      <c r="M50" s="7" t="s">
        <v>114</v>
      </c>
    </row>
    <row r="51" spans="1:13" x14ac:dyDescent="0.25">
      <c r="I51" s="7" t="s">
        <v>47</v>
      </c>
      <c r="J51">
        <v>4.8</v>
      </c>
      <c r="K51">
        <v>12</v>
      </c>
      <c r="M51" s="7" t="s">
        <v>111</v>
      </c>
    </row>
    <row r="52" spans="1:13" x14ac:dyDescent="0.25">
      <c r="I52" s="7" t="s">
        <v>22</v>
      </c>
      <c r="J52">
        <v>4.8</v>
      </c>
      <c r="K52">
        <v>5</v>
      </c>
      <c r="M52" s="7" t="s">
        <v>248</v>
      </c>
    </row>
    <row r="53" spans="1:13" x14ac:dyDescent="0.25">
      <c r="I53" s="7" t="s">
        <v>35</v>
      </c>
      <c r="J53">
        <v>4.8</v>
      </c>
      <c r="K53">
        <v>5</v>
      </c>
      <c r="M53" s="7" t="s">
        <v>190</v>
      </c>
    </row>
    <row r="54" spans="1:13" x14ac:dyDescent="0.25">
      <c r="I54" s="7" t="s">
        <v>117</v>
      </c>
      <c r="J54">
        <v>5</v>
      </c>
      <c r="K54">
        <v>1</v>
      </c>
      <c r="M54" s="7" t="s">
        <v>316</v>
      </c>
    </row>
    <row r="55" spans="1:13" x14ac:dyDescent="0.25">
      <c r="I55" s="7" t="s">
        <v>63</v>
      </c>
      <c r="J55">
        <v>5</v>
      </c>
      <c r="K55">
        <v>3</v>
      </c>
      <c r="M55" s="7" t="s">
        <v>277</v>
      </c>
    </row>
    <row r="56" spans="1:13" x14ac:dyDescent="0.25">
      <c r="I56" s="7" t="s">
        <v>245</v>
      </c>
      <c r="J56">
        <v>5</v>
      </c>
      <c r="K56">
        <v>1</v>
      </c>
      <c r="M56" s="7" t="s">
        <v>145</v>
      </c>
    </row>
    <row r="57" spans="1:13" x14ac:dyDescent="0.25">
      <c r="I57" s="7" t="s">
        <v>295</v>
      </c>
      <c r="J57">
        <v>5</v>
      </c>
      <c r="K57">
        <v>1</v>
      </c>
      <c r="M57" s="7" t="s">
        <v>240</v>
      </c>
    </row>
    <row r="58" spans="1:13" x14ac:dyDescent="0.25">
      <c r="I58" s="7" t="s">
        <v>60</v>
      </c>
      <c r="J58">
        <v>5</v>
      </c>
      <c r="K58">
        <v>2</v>
      </c>
      <c r="M58" s="7" t="s">
        <v>227</v>
      </c>
    </row>
    <row r="59" spans="1:13" x14ac:dyDescent="0.25">
      <c r="I59" s="7" t="s">
        <v>56</v>
      </c>
      <c r="J59">
        <v>5</v>
      </c>
      <c r="K59">
        <v>2</v>
      </c>
      <c r="M59" s="7" t="s">
        <v>292</v>
      </c>
    </row>
    <row r="60" spans="1:13" x14ac:dyDescent="0.25">
      <c r="I60" s="7" t="s">
        <v>120</v>
      </c>
      <c r="J60">
        <v>5</v>
      </c>
      <c r="K60">
        <v>2</v>
      </c>
      <c r="M60" s="7" t="s">
        <v>298</v>
      </c>
    </row>
    <row r="61" spans="1:13" x14ac:dyDescent="0.25">
      <c r="A61" t="s">
        <v>351</v>
      </c>
      <c r="B61">
        <f>CORREL(tblproducts[Ratings],tblproducts[Review])</f>
        <v>5.7209035119876482E-2</v>
      </c>
      <c r="I61" s="7" t="s">
        <v>355</v>
      </c>
      <c r="J61">
        <v>4.9399999999999995</v>
      </c>
      <c r="K61">
        <v>3.4</v>
      </c>
      <c r="M61" s="7" t="s">
        <v>215</v>
      </c>
    </row>
    <row r="62" spans="1:13" x14ac:dyDescent="0.25">
      <c r="M62" s="7" t="s">
        <v>175</v>
      </c>
    </row>
    <row r="63" spans="1:13" x14ac:dyDescent="0.25">
      <c r="M63" s="7" t="s">
        <v>56</v>
      </c>
    </row>
    <row r="64" spans="1:13" x14ac:dyDescent="0.25">
      <c r="M64" s="7" t="s">
        <v>206</v>
      </c>
    </row>
    <row r="65" spans="13:13" x14ac:dyDescent="0.25">
      <c r="M65" s="7" t="s">
        <v>289</v>
      </c>
    </row>
    <row r="66" spans="13:13" x14ac:dyDescent="0.25">
      <c r="M66" s="7" t="s">
        <v>137</v>
      </c>
    </row>
    <row r="67" spans="13:13" x14ac:dyDescent="0.25">
      <c r="M67" s="7" t="s">
        <v>245</v>
      </c>
    </row>
    <row r="68" spans="13:13" x14ac:dyDescent="0.25">
      <c r="M68" s="7" t="s">
        <v>320</v>
      </c>
    </row>
    <row r="69" spans="13:13" x14ac:dyDescent="0.25">
      <c r="M69" s="7" t="s">
        <v>157</v>
      </c>
    </row>
    <row r="70" spans="13:13" x14ac:dyDescent="0.25">
      <c r="M70" s="7" t="s">
        <v>148</v>
      </c>
    </row>
    <row r="71" spans="13:13" x14ac:dyDescent="0.25">
      <c r="M71" s="7" t="s">
        <v>258</v>
      </c>
    </row>
    <row r="72" spans="13:13" x14ac:dyDescent="0.25">
      <c r="M72" s="7" t="s">
        <v>310</v>
      </c>
    </row>
    <row r="73" spans="13:13" x14ac:dyDescent="0.25">
      <c r="M73" s="7" t="s">
        <v>143</v>
      </c>
    </row>
    <row r="74" spans="13:13" x14ac:dyDescent="0.25">
      <c r="M74" s="7" t="s">
        <v>173</v>
      </c>
    </row>
    <row r="75" spans="13:13" x14ac:dyDescent="0.25">
      <c r="M75" s="7" t="s">
        <v>120</v>
      </c>
    </row>
    <row r="76" spans="13:13" x14ac:dyDescent="0.25">
      <c r="M76" s="7" t="s">
        <v>154</v>
      </c>
    </row>
    <row r="77" spans="13:13" x14ac:dyDescent="0.25">
      <c r="M77" s="7" t="s">
        <v>237</v>
      </c>
    </row>
    <row r="78" spans="13:13" x14ac:dyDescent="0.25">
      <c r="M78" s="7" t="s">
        <v>168</v>
      </c>
    </row>
    <row r="79" spans="13:13" x14ac:dyDescent="0.25">
      <c r="M79" s="7" t="s">
        <v>33</v>
      </c>
    </row>
    <row r="80" spans="13:13" x14ac:dyDescent="0.25">
      <c r="M80" s="7" t="s">
        <v>117</v>
      </c>
    </row>
    <row r="81" spans="1:13" x14ac:dyDescent="0.25">
      <c r="M81" s="7" t="s">
        <v>229</v>
      </c>
    </row>
    <row r="82" spans="1:13" x14ac:dyDescent="0.25">
      <c r="M82" s="7" t="s">
        <v>89</v>
      </c>
    </row>
    <row r="83" spans="1:13" x14ac:dyDescent="0.25">
      <c r="A83" t="s">
        <v>352</v>
      </c>
      <c r="B83">
        <f>CORREL(tblproducts[Current price],tblproducts[Ratings])</f>
        <v>0.11009021272510706</v>
      </c>
      <c r="M83" s="7" t="s">
        <v>102</v>
      </c>
    </row>
    <row r="84" spans="1:13" x14ac:dyDescent="0.25">
      <c r="M84" s="7" t="s">
        <v>81</v>
      </c>
    </row>
    <row r="85" spans="1:13" x14ac:dyDescent="0.25">
      <c r="M85" s="7" t="s">
        <v>42</v>
      </c>
    </row>
    <row r="86" spans="1:13" x14ac:dyDescent="0.25">
      <c r="M86" s="7" t="s">
        <v>253</v>
      </c>
    </row>
    <row r="87" spans="1:13" x14ac:dyDescent="0.25">
      <c r="M87" s="7" t="s">
        <v>198</v>
      </c>
    </row>
    <row r="88" spans="1:13" x14ac:dyDescent="0.25">
      <c r="M88" s="7" t="s">
        <v>295</v>
      </c>
    </row>
    <row r="89" spans="1:13" x14ac:dyDescent="0.25">
      <c r="M89" s="7" t="s">
        <v>218</v>
      </c>
    </row>
    <row r="90" spans="1:13" x14ac:dyDescent="0.25">
      <c r="M90" s="7" t="s">
        <v>85</v>
      </c>
    </row>
    <row r="91" spans="1:13" x14ac:dyDescent="0.25">
      <c r="M91" s="7" t="s">
        <v>63</v>
      </c>
    </row>
    <row r="92" spans="1:13" x14ac:dyDescent="0.25">
      <c r="M92" s="7" t="s">
        <v>50</v>
      </c>
    </row>
    <row r="93" spans="1:13" x14ac:dyDescent="0.25">
      <c r="M93" s="7" t="s">
        <v>35</v>
      </c>
    </row>
    <row r="94" spans="1:13" x14ac:dyDescent="0.25">
      <c r="M94" s="7" t="s">
        <v>128</v>
      </c>
    </row>
    <row r="95" spans="1:13" x14ac:dyDescent="0.25">
      <c r="M95" s="7" t="s">
        <v>108</v>
      </c>
    </row>
    <row r="96" spans="1:13" x14ac:dyDescent="0.25">
      <c r="M96" s="7" t="s">
        <v>78</v>
      </c>
    </row>
    <row r="97" spans="13:13" x14ac:dyDescent="0.25">
      <c r="M97" s="7" t="s">
        <v>307</v>
      </c>
    </row>
    <row r="98" spans="13:13" x14ac:dyDescent="0.25">
      <c r="M98" s="7" t="s">
        <v>66</v>
      </c>
    </row>
    <row r="99" spans="13:13" x14ac:dyDescent="0.25">
      <c r="M99" s="7" t="s">
        <v>243</v>
      </c>
    </row>
    <row r="100" spans="13:13" x14ac:dyDescent="0.25">
      <c r="M100" s="7" t="s">
        <v>10</v>
      </c>
    </row>
    <row r="101" spans="13:13" x14ac:dyDescent="0.25">
      <c r="M101" s="7" t="s">
        <v>287</v>
      </c>
    </row>
    <row r="102" spans="13:13" x14ac:dyDescent="0.25">
      <c r="M102" s="7" t="s">
        <v>134</v>
      </c>
    </row>
    <row r="103" spans="13:13" x14ac:dyDescent="0.25">
      <c r="M103" s="7" t="s">
        <v>53</v>
      </c>
    </row>
    <row r="104" spans="13:13" x14ac:dyDescent="0.25">
      <c r="M104" s="7" t="s">
        <v>266</v>
      </c>
    </row>
    <row r="105" spans="13:13" x14ac:dyDescent="0.25">
      <c r="M105" s="7" t="s">
        <v>99</v>
      </c>
    </row>
    <row r="106" spans="13:13" x14ac:dyDescent="0.25">
      <c r="M106" s="7" t="s">
        <v>165</v>
      </c>
    </row>
    <row r="107" spans="13:13" x14ac:dyDescent="0.25">
      <c r="M107" s="7" t="s">
        <v>186</v>
      </c>
    </row>
    <row r="108" spans="13:13" x14ac:dyDescent="0.25">
      <c r="M108" s="7" t="s">
        <v>256</v>
      </c>
    </row>
    <row r="109" spans="13:13" x14ac:dyDescent="0.25">
      <c r="M109" s="7" t="s">
        <v>261</v>
      </c>
    </row>
    <row r="110" spans="13:13" x14ac:dyDescent="0.25">
      <c r="M110" s="7" t="s">
        <v>60</v>
      </c>
    </row>
    <row r="111" spans="13:13" x14ac:dyDescent="0.25">
      <c r="M111" s="7" t="s">
        <v>160</v>
      </c>
    </row>
    <row r="112" spans="13:13" x14ac:dyDescent="0.25">
      <c r="M112" s="7" t="s">
        <v>163</v>
      </c>
    </row>
    <row r="113" spans="13:13" x14ac:dyDescent="0.25">
      <c r="M113" s="7" t="s">
        <v>22</v>
      </c>
    </row>
    <row r="114" spans="13:13" x14ac:dyDescent="0.25">
      <c r="M114" s="7" t="s">
        <v>14</v>
      </c>
    </row>
    <row r="115" spans="13:13" x14ac:dyDescent="0.25">
      <c r="M115" s="7" t="s">
        <v>282</v>
      </c>
    </row>
    <row r="116" spans="13:13" x14ac:dyDescent="0.25">
      <c r="M116" s="7" t="s">
        <v>92</v>
      </c>
    </row>
    <row r="117" spans="13:13" x14ac:dyDescent="0.25">
      <c r="M117" s="7" t="s">
        <v>272</v>
      </c>
    </row>
    <row r="118" spans="13:13" x14ac:dyDescent="0.25">
      <c r="M118" s="7" t="s">
        <v>122</v>
      </c>
    </row>
    <row r="119" spans="13:13" x14ac:dyDescent="0.25">
      <c r="M119" s="7" t="s">
        <v>274</v>
      </c>
    </row>
    <row r="120" spans="13:13" x14ac:dyDescent="0.25">
      <c r="M120" s="7" t="s">
        <v>140</v>
      </c>
    </row>
    <row r="121" spans="13:13" x14ac:dyDescent="0.25">
      <c r="M121" s="7" t="s">
        <v>312</v>
      </c>
    </row>
    <row r="122" spans="13:13" x14ac:dyDescent="0.25">
      <c r="M122" s="7" t="s">
        <v>170</v>
      </c>
    </row>
    <row r="123" spans="13:13" x14ac:dyDescent="0.25">
      <c r="M123" s="7" t="s">
        <v>314</v>
      </c>
    </row>
    <row r="124" spans="13:13" x14ac:dyDescent="0.25">
      <c r="M124" s="7" t="s">
        <v>202</v>
      </c>
    </row>
    <row r="125" spans="13:13" x14ac:dyDescent="0.25">
      <c r="M125" s="7" t="s">
        <v>269</v>
      </c>
    </row>
    <row r="126" spans="13:13" x14ac:dyDescent="0.25">
      <c r="M126" s="7" t="s">
        <v>280</v>
      </c>
    </row>
    <row r="127" spans="13:13" x14ac:dyDescent="0.25">
      <c r="M127" s="7" t="s">
        <v>318</v>
      </c>
    </row>
    <row r="128" spans="13:13" x14ac:dyDescent="0.25">
      <c r="M128" s="7" t="s">
        <v>264</v>
      </c>
    </row>
    <row r="129" spans="13:13" x14ac:dyDescent="0.25">
      <c r="M129" s="7" t="s">
        <v>221</v>
      </c>
    </row>
    <row r="130" spans="13:13" x14ac:dyDescent="0.25">
      <c r="M130" s="7" t="s">
        <v>18</v>
      </c>
    </row>
    <row r="131" spans="13:13" x14ac:dyDescent="0.25">
      <c r="M131" s="7" t="s">
        <v>224</v>
      </c>
    </row>
    <row r="132" spans="13:13" x14ac:dyDescent="0.25">
      <c r="M132" s="7" t="s">
        <v>355</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5730-DE4F-447D-A285-337A8C74098D}">
  <dimension ref="A1:L58"/>
  <sheetViews>
    <sheetView topLeftCell="G28" workbookViewId="0">
      <selection activeCell="L50" sqref="K48:L52"/>
    </sheetView>
  </sheetViews>
  <sheetFormatPr defaultRowHeight="15" x14ac:dyDescent="0.25"/>
  <cols>
    <col min="1" max="1" width="13.42578125" bestFit="1" customWidth="1"/>
    <col min="2" max="2" width="17.7109375" bestFit="1" customWidth="1"/>
    <col min="11" max="11" width="16.5703125" bestFit="1" customWidth="1"/>
    <col min="12" max="12" width="17.85546875" bestFit="1" customWidth="1"/>
  </cols>
  <sheetData>
    <row r="1" spans="1:12" x14ac:dyDescent="0.25">
      <c r="A1" s="6" t="s">
        <v>354</v>
      </c>
      <c r="B1" t="s">
        <v>368</v>
      </c>
    </row>
    <row r="2" spans="1:12" x14ac:dyDescent="0.25">
      <c r="A2" s="7" t="s">
        <v>365</v>
      </c>
      <c r="B2">
        <v>22</v>
      </c>
      <c r="K2" s="6" t="s">
        <v>354</v>
      </c>
      <c r="L2" t="s">
        <v>356</v>
      </c>
    </row>
    <row r="3" spans="1:12" x14ac:dyDescent="0.25">
      <c r="A3" s="7" t="s">
        <v>366</v>
      </c>
      <c r="B3">
        <v>23</v>
      </c>
      <c r="K3" s="7" t="s">
        <v>120</v>
      </c>
      <c r="L3">
        <v>5</v>
      </c>
    </row>
    <row r="4" spans="1:12" x14ac:dyDescent="0.25">
      <c r="A4" s="7" t="s">
        <v>367</v>
      </c>
      <c r="B4">
        <v>12</v>
      </c>
      <c r="K4" s="7" t="s">
        <v>63</v>
      </c>
      <c r="L4">
        <v>5</v>
      </c>
    </row>
    <row r="5" spans="1:12" x14ac:dyDescent="0.25">
      <c r="A5" s="7" t="s">
        <v>355</v>
      </c>
      <c r="B5">
        <v>57</v>
      </c>
      <c r="K5" s="7" t="s">
        <v>295</v>
      </c>
      <c r="L5">
        <v>5</v>
      </c>
    </row>
    <row r="6" spans="1:12" x14ac:dyDescent="0.25">
      <c r="K6" s="7" t="s">
        <v>56</v>
      </c>
      <c r="L6">
        <v>5</v>
      </c>
    </row>
    <row r="7" spans="1:12" x14ac:dyDescent="0.25">
      <c r="K7" s="7" t="s">
        <v>60</v>
      </c>
      <c r="L7">
        <v>5</v>
      </c>
    </row>
    <row r="8" spans="1:12" x14ac:dyDescent="0.25">
      <c r="K8" s="7" t="s">
        <v>245</v>
      </c>
      <c r="L8">
        <v>5</v>
      </c>
    </row>
    <row r="9" spans="1:12" x14ac:dyDescent="0.25">
      <c r="K9" s="7" t="s">
        <v>117</v>
      </c>
      <c r="L9">
        <v>5</v>
      </c>
    </row>
    <row r="10" spans="1:12" x14ac:dyDescent="0.25">
      <c r="K10" s="7" t="s">
        <v>35</v>
      </c>
      <c r="L10">
        <v>4.8</v>
      </c>
    </row>
    <row r="11" spans="1:12" x14ac:dyDescent="0.25">
      <c r="K11" s="7" t="s">
        <v>22</v>
      </c>
      <c r="L11">
        <v>4.8</v>
      </c>
    </row>
    <row r="12" spans="1:12" x14ac:dyDescent="0.25">
      <c r="A12" s="6" t="s">
        <v>354</v>
      </c>
      <c r="B12" t="s">
        <v>368</v>
      </c>
      <c r="K12" s="7" t="s">
        <v>47</v>
      </c>
      <c r="L12">
        <v>4.8</v>
      </c>
    </row>
    <row r="13" spans="1:12" x14ac:dyDescent="0.25">
      <c r="A13" s="7" t="s">
        <v>334</v>
      </c>
      <c r="B13">
        <v>30</v>
      </c>
      <c r="K13" s="7" t="s">
        <v>355</v>
      </c>
      <c r="L13">
        <v>4.9399999999999995</v>
      </c>
    </row>
    <row r="14" spans="1:12" x14ac:dyDescent="0.25">
      <c r="A14" s="7" t="s">
        <v>369</v>
      </c>
      <c r="B14">
        <v>4</v>
      </c>
    </row>
    <row r="15" spans="1:12" x14ac:dyDescent="0.25">
      <c r="A15" s="7" t="s">
        <v>370</v>
      </c>
      <c r="B15">
        <v>23</v>
      </c>
    </row>
    <row r="16" spans="1:12" x14ac:dyDescent="0.25">
      <c r="A16" s="7" t="s">
        <v>355</v>
      </c>
      <c r="B16">
        <v>57</v>
      </c>
    </row>
    <row r="18" spans="1:12" x14ac:dyDescent="0.25">
      <c r="K18" s="6" t="s">
        <v>354</v>
      </c>
      <c r="L18" t="s">
        <v>358</v>
      </c>
    </row>
    <row r="19" spans="1:12" x14ac:dyDescent="0.25">
      <c r="K19" s="7" t="s">
        <v>194</v>
      </c>
      <c r="L19">
        <v>69</v>
      </c>
    </row>
    <row r="20" spans="1:12" x14ac:dyDescent="0.25">
      <c r="K20" s="7" t="s">
        <v>30</v>
      </c>
      <c r="L20">
        <v>55</v>
      </c>
    </row>
    <row r="21" spans="1:12" x14ac:dyDescent="0.25">
      <c r="K21" s="7" t="s">
        <v>89</v>
      </c>
      <c r="L21">
        <v>49</v>
      </c>
    </row>
    <row r="22" spans="1:12" x14ac:dyDescent="0.25">
      <c r="K22" s="7" t="s">
        <v>68</v>
      </c>
      <c r="L22">
        <v>44</v>
      </c>
    </row>
    <row r="23" spans="1:12" x14ac:dyDescent="0.25">
      <c r="K23" s="7" t="s">
        <v>44</v>
      </c>
      <c r="L23">
        <v>39</v>
      </c>
    </row>
    <row r="24" spans="1:12" x14ac:dyDescent="0.25">
      <c r="A24" s="6" t="s">
        <v>354</v>
      </c>
      <c r="B24" t="s">
        <v>356</v>
      </c>
      <c r="K24" s="7" t="s">
        <v>122</v>
      </c>
      <c r="L24">
        <v>36</v>
      </c>
    </row>
    <row r="25" spans="1:12" x14ac:dyDescent="0.25">
      <c r="A25" s="7" t="s">
        <v>371</v>
      </c>
      <c r="B25">
        <v>4.0842105263157888</v>
      </c>
      <c r="K25" s="7" t="s">
        <v>114</v>
      </c>
      <c r="L25">
        <v>32</v>
      </c>
    </row>
    <row r="26" spans="1:12" x14ac:dyDescent="0.25">
      <c r="A26" s="7" t="s">
        <v>372</v>
      </c>
      <c r="B26">
        <v>3.6357142857142861</v>
      </c>
      <c r="K26" s="7" t="s">
        <v>14</v>
      </c>
      <c r="L26">
        <v>24</v>
      </c>
    </row>
    <row r="27" spans="1:12" x14ac:dyDescent="0.25">
      <c r="A27" s="7" t="s">
        <v>373</v>
      </c>
      <c r="B27">
        <v>3.8833333333333342</v>
      </c>
      <c r="K27" s="7" t="s">
        <v>111</v>
      </c>
      <c r="L27">
        <v>20</v>
      </c>
    </row>
    <row r="28" spans="1:12" x14ac:dyDescent="0.25">
      <c r="A28" s="7" t="s">
        <v>355</v>
      </c>
      <c r="B28">
        <v>3.8894736842105258</v>
      </c>
      <c r="K28" s="7" t="s">
        <v>97</v>
      </c>
      <c r="L28">
        <v>20</v>
      </c>
    </row>
    <row r="29" spans="1:12" x14ac:dyDescent="0.25">
      <c r="K29" s="7" t="s">
        <v>355</v>
      </c>
      <c r="L29">
        <v>38.799999999999997</v>
      </c>
    </row>
    <row r="33" spans="1:12" x14ac:dyDescent="0.25">
      <c r="K33" s="6" t="s">
        <v>354</v>
      </c>
      <c r="L33" t="s">
        <v>359</v>
      </c>
    </row>
    <row r="34" spans="1:12" x14ac:dyDescent="0.25">
      <c r="K34" s="7" t="s">
        <v>35</v>
      </c>
      <c r="L34" s="1">
        <v>0.55000000000000004</v>
      </c>
    </row>
    <row r="35" spans="1:12" x14ac:dyDescent="0.25">
      <c r="K35" s="7" t="s">
        <v>190</v>
      </c>
      <c r="L35" s="1">
        <v>0.55000000000000004</v>
      </c>
    </row>
    <row r="36" spans="1:12" x14ac:dyDescent="0.25">
      <c r="K36" s="7" t="s">
        <v>85</v>
      </c>
      <c r="L36" s="1">
        <v>0.54</v>
      </c>
    </row>
    <row r="37" spans="1:12" x14ac:dyDescent="0.25">
      <c r="K37" s="7" t="s">
        <v>186</v>
      </c>
      <c r="L37" s="1">
        <v>0.54</v>
      </c>
    </row>
    <row r="38" spans="1:12" x14ac:dyDescent="0.25">
      <c r="K38" s="7" t="s">
        <v>71</v>
      </c>
      <c r="L38" s="1">
        <v>0.53</v>
      </c>
    </row>
    <row r="39" spans="1:12" x14ac:dyDescent="0.25">
      <c r="K39" s="7" t="s">
        <v>120</v>
      </c>
      <c r="L39" s="1">
        <v>0.53</v>
      </c>
    </row>
    <row r="40" spans="1:12" x14ac:dyDescent="0.25">
      <c r="K40" s="7" t="s">
        <v>198</v>
      </c>
      <c r="L40" s="1">
        <v>0.52</v>
      </c>
    </row>
    <row r="41" spans="1:12" x14ac:dyDescent="0.25">
      <c r="A41" s="6" t="s">
        <v>354</v>
      </c>
      <c r="B41" t="s">
        <v>358</v>
      </c>
      <c r="K41" s="7" t="s">
        <v>102</v>
      </c>
      <c r="L41" s="1">
        <v>0.52</v>
      </c>
    </row>
    <row r="42" spans="1:12" x14ac:dyDescent="0.25">
      <c r="A42" s="7" t="s">
        <v>334</v>
      </c>
      <c r="B42">
        <v>11.133333333333333</v>
      </c>
      <c r="K42" s="7" t="s">
        <v>56</v>
      </c>
      <c r="L42" s="1">
        <v>0.51</v>
      </c>
    </row>
    <row r="43" spans="1:12" x14ac:dyDescent="0.25">
      <c r="A43" s="7" t="s">
        <v>369</v>
      </c>
      <c r="B43">
        <v>9.5</v>
      </c>
      <c r="K43" s="7" t="s">
        <v>318</v>
      </c>
      <c r="L43" s="1">
        <v>0.5</v>
      </c>
    </row>
    <row r="44" spans="1:12" x14ac:dyDescent="0.25">
      <c r="A44" s="7" t="s">
        <v>370</v>
      </c>
      <c r="B44">
        <v>15.260869565217391</v>
      </c>
      <c r="K44" s="7" t="s">
        <v>209</v>
      </c>
      <c r="L44" s="1">
        <v>0.5</v>
      </c>
    </row>
    <row r="45" spans="1:12" x14ac:dyDescent="0.25">
      <c r="A45" s="7" t="s">
        <v>355</v>
      </c>
      <c r="B45">
        <v>12.684210526315789</v>
      </c>
      <c r="K45" s="7" t="s">
        <v>355</v>
      </c>
      <c r="L45" s="1">
        <v>0.52636363636363637</v>
      </c>
    </row>
    <row r="54" spans="1:2" x14ac:dyDescent="0.25">
      <c r="A54" s="6" t="s">
        <v>354</v>
      </c>
      <c r="B54" t="s">
        <v>358</v>
      </c>
    </row>
    <row r="55" spans="1:2" x14ac:dyDescent="0.25">
      <c r="A55" s="7" t="s">
        <v>365</v>
      </c>
      <c r="B55">
        <v>10.136363636363637</v>
      </c>
    </row>
    <row r="56" spans="1:2" x14ac:dyDescent="0.25">
      <c r="A56" s="7" t="s">
        <v>366</v>
      </c>
      <c r="B56">
        <v>14.391304347826088</v>
      </c>
    </row>
    <row r="57" spans="1:2" x14ac:dyDescent="0.25">
      <c r="A57" s="7" t="s">
        <v>367</v>
      </c>
      <c r="B57">
        <v>14.083333333333334</v>
      </c>
    </row>
    <row r="58" spans="1:2" x14ac:dyDescent="0.25">
      <c r="A58" s="7" t="s">
        <v>355</v>
      </c>
      <c r="B58">
        <v>12.684210526315789</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5358-9ACE-488A-A6BE-0D01001DE31C}">
  <dimension ref="A1"/>
  <sheetViews>
    <sheetView tabSelected="1" topLeftCell="T1" workbookViewId="0">
      <selection activeCell="U9" sqref="U9"/>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8741-C195-4581-A700-CD57A16D3B1A}">
  <dimension ref="A1:I18"/>
  <sheetViews>
    <sheetView workbookViewId="0">
      <selection activeCell="B4" sqref="B4"/>
    </sheetView>
  </sheetViews>
  <sheetFormatPr defaultRowHeight="15" x14ac:dyDescent="0.25"/>
  <cols>
    <col min="1" max="1" width="24.5703125" customWidth="1"/>
    <col min="4" max="4" width="74" customWidth="1"/>
    <col min="6" max="6" width="15.5703125" bestFit="1" customWidth="1"/>
    <col min="7" max="7" width="24" bestFit="1" customWidth="1"/>
    <col min="8" max="8" width="23" bestFit="1" customWidth="1"/>
    <col min="9" max="9" width="103.140625" bestFit="1" customWidth="1"/>
  </cols>
  <sheetData>
    <row r="1" spans="1:9" ht="15.75" x14ac:dyDescent="0.25">
      <c r="A1" s="5" t="s">
        <v>386</v>
      </c>
      <c r="D1" s="5" t="s">
        <v>387</v>
      </c>
      <c r="F1" s="5" t="s">
        <v>404</v>
      </c>
    </row>
    <row r="2" spans="1:9" ht="15.75" x14ac:dyDescent="0.25">
      <c r="A2" t="s">
        <v>374</v>
      </c>
      <c r="B2">
        <v>113</v>
      </c>
      <c r="D2" t="s">
        <v>388</v>
      </c>
      <c r="F2" s="9" t="s">
        <v>405</v>
      </c>
      <c r="G2" s="9" t="s">
        <v>412</v>
      </c>
      <c r="H2" s="9" t="s">
        <v>406</v>
      </c>
      <c r="I2" s="9" t="s">
        <v>407</v>
      </c>
    </row>
    <row r="3" spans="1:9" x14ac:dyDescent="0.25">
      <c r="A3" t="s">
        <v>375</v>
      </c>
      <c r="B3">
        <v>6</v>
      </c>
      <c r="D3" t="s">
        <v>389</v>
      </c>
      <c r="F3" t="s">
        <v>408</v>
      </c>
      <c r="G3" t="s">
        <v>419</v>
      </c>
      <c r="H3" t="s">
        <v>409</v>
      </c>
      <c r="I3" t="s">
        <v>410</v>
      </c>
    </row>
    <row r="4" spans="1:9" x14ac:dyDescent="0.25">
      <c r="A4" t="s">
        <v>376</v>
      </c>
      <c r="B4">
        <v>0</v>
      </c>
      <c r="D4" t="s">
        <v>390</v>
      </c>
      <c r="F4" t="s">
        <v>411</v>
      </c>
      <c r="G4" t="s">
        <v>420</v>
      </c>
      <c r="H4" t="s">
        <v>413</v>
      </c>
      <c r="I4" t="s">
        <v>414</v>
      </c>
    </row>
    <row r="5" spans="1:9" x14ac:dyDescent="0.25">
      <c r="A5" t="s">
        <v>378</v>
      </c>
      <c r="B5">
        <v>0</v>
      </c>
      <c r="D5" t="s">
        <v>391</v>
      </c>
      <c r="F5" t="s">
        <v>415</v>
      </c>
      <c r="G5" t="s">
        <v>416</v>
      </c>
      <c r="H5" t="s">
        <v>418</v>
      </c>
      <c r="I5" t="s">
        <v>421</v>
      </c>
    </row>
    <row r="6" spans="1:9" x14ac:dyDescent="0.25">
      <c r="A6" t="s">
        <v>377</v>
      </c>
      <c r="B6">
        <v>0</v>
      </c>
      <c r="D6" t="s">
        <v>392</v>
      </c>
      <c r="G6" s="1" t="s">
        <v>417</v>
      </c>
    </row>
    <row r="7" spans="1:9" x14ac:dyDescent="0.25">
      <c r="A7" t="s">
        <v>379</v>
      </c>
      <c r="B7">
        <v>0</v>
      </c>
      <c r="D7" t="s">
        <v>393</v>
      </c>
      <c r="F7" t="s">
        <v>422</v>
      </c>
      <c r="G7" t="s">
        <v>423</v>
      </c>
      <c r="H7" t="s">
        <v>424</v>
      </c>
      <c r="I7" t="s">
        <v>425</v>
      </c>
    </row>
    <row r="8" spans="1:9" x14ac:dyDescent="0.25">
      <c r="A8" t="s">
        <v>380</v>
      </c>
      <c r="B8">
        <v>55</v>
      </c>
      <c r="F8" t="s">
        <v>426</v>
      </c>
      <c r="G8" t="s">
        <v>427</v>
      </c>
      <c r="H8" t="s">
        <v>428</v>
      </c>
      <c r="I8" t="s">
        <v>429</v>
      </c>
    </row>
    <row r="9" spans="1:9" ht="15.75" x14ac:dyDescent="0.25">
      <c r="A9" t="s">
        <v>381</v>
      </c>
      <c r="B9">
        <v>55</v>
      </c>
      <c r="D9" s="5" t="s">
        <v>400</v>
      </c>
    </row>
    <row r="10" spans="1:9" x14ac:dyDescent="0.25">
      <c r="A10" t="s">
        <v>382</v>
      </c>
      <c r="B10">
        <v>58</v>
      </c>
      <c r="D10" t="s">
        <v>394</v>
      </c>
    </row>
    <row r="11" spans="1:9" x14ac:dyDescent="0.25">
      <c r="A11" t="s">
        <v>383</v>
      </c>
      <c r="B11">
        <v>0</v>
      </c>
      <c r="D11" t="s">
        <v>395</v>
      </c>
    </row>
    <row r="12" spans="1:9" x14ac:dyDescent="0.25">
      <c r="A12" t="s">
        <v>384</v>
      </c>
      <c r="B12">
        <v>0</v>
      </c>
      <c r="D12" t="s">
        <v>396</v>
      </c>
    </row>
    <row r="13" spans="1:9" x14ac:dyDescent="0.25">
      <c r="A13" t="s">
        <v>385</v>
      </c>
      <c r="B13">
        <v>3</v>
      </c>
      <c r="D13" t="s">
        <v>397</v>
      </c>
    </row>
    <row r="14" spans="1:9" x14ac:dyDescent="0.25">
      <c r="A14" t="s">
        <v>430</v>
      </c>
      <c r="B14">
        <v>0</v>
      </c>
      <c r="D14" t="s">
        <v>398</v>
      </c>
    </row>
    <row r="15" spans="1:9" x14ac:dyDescent="0.25">
      <c r="D15" t="s">
        <v>399</v>
      </c>
    </row>
    <row r="16" spans="1:9" x14ac:dyDescent="0.25">
      <c r="D16" t="s">
        <v>401</v>
      </c>
    </row>
    <row r="17" spans="4:4" x14ac:dyDescent="0.25">
      <c r="D17" t="s">
        <v>402</v>
      </c>
    </row>
    <row r="18" spans="4:4" x14ac:dyDescent="0.25">
      <c r="D18"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Raw Data</vt:lpstr>
      <vt:lpstr>Cleaned Data</vt:lpstr>
      <vt:lpstr>Analysis</vt:lpstr>
      <vt:lpstr>Pivot Tables</vt:lpstr>
      <vt:lpstr>Dashboard</vt:lpstr>
      <vt:lpstr>Data Dictionary</vt:lpstr>
      <vt:lpstr>hds</vt:lpstr>
      <vt:lpstr>High_dis</vt:lpstr>
      <vt:lpstr>Price_Q1</vt:lpstr>
      <vt:lpstr>Price_Q3</vt:lpstr>
      <vt:lpstr>ste</vt:lpstr>
      <vt:lpstr>str_engagement</vt:lpstr>
      <vt:lpstr>strong_engage</vt:lpstr>
      <vt:lpstr>weak_engagem</vt:lpstr>
      <vt:lpstr>weak_engagement</vt:lpstr>
      <vt:lpstr>wke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Lil Kefoi</cp:lastModifiedBy>
  <dcterms:created xsi:type="dcterms:W3CDTF">2026-09-03T11:13:24Z</dcterms:created>
  <dcterms:modified xsi:type="dcterms:W3CDTF">2026-09-07T17:21:03Z</dcterms:modified>
</cp:coreProperties>
</file>